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ghtonlinecan-my.sharepoint.com/personal/devan_schellenberg_insight_com/Documents/Platforms/"/>
    </mc:Choice>
  </mc:AlternateContent>
  <xr:revisionPtr revIDLastSave="607" documentId="8_{52164656-87FD-4FE8-B267-301AEC3DFA49}" xr6:coauthVersionLast="47" xr6:coauthVersionMax="47" xr10:uidLastSave="{4E3F5122-3AD0-4508-A0D5-8A2795220060}"/>
  <bookViews>
    <workbookView xWindow="-120" yWindow="-16320" windowWidth="29040" windowHeight="15720" activeTab="1" xr2:uid="{4A9F505D-629C-45D6-86F6-0D51222C83F3}"/>
  </bookViews>
  <sheets>
    <sheet name="Summary" sheetId="2" r:id="rId1"/>
    <sheet name="Detail" sheetId="1" r:id="rId2"/>
  </sheets>
  <definedNames>
    <definedName name="_xlnm._FilterDatabase" localSheetId="1" hidden="1">Detail!$A$1:$H$1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E44" i="1"/>
  <c r="E45" i="1"/>
  <c r="E46" i="1"/>
  <c r="E47" i="1"/>
  <c r="E48" i="1"/>
  <c r="E49" i="1"/>
  <c r="E50" i="1"/>
  <c r="E23" i="1" l="1"/>
  <c r="N3" i="1" l="1"/>
  <c r="N4" i="1"/>
  <c r="N5" i="1"/>
  <c r="N6" i="1"/>
  <c r="N7" i="1"/>
  <c r="N8" i="1"/>
  <c r="N9" i="1"/>
  <c r="N10" i="1"/>
  <c r="N11" i="1"/>
  <c r="N12" i="1"/>
  <c r="N13" i="1"/>
  <c r="N14" i="1"/>
  <c r="E8" i="1"/>
  <c r="E3" i="1"/>
  <c r="E4" i="1"/>
  <c r="E5" i="1"/>
  <c r="J10" i="2" s="1"/>
  <c r="E6" i="1"/>
  <c r="E7" i="1"/>
  <c r="E9" i="1"/>
  <c r="E10" i="1"/>
  <c r="E11" i="1"/>
  <c r="E12" i="1"/>
  <c r="E13" i="1"/>
  <c r="E14" i="1"/>
  <c r="J12" i="2" s="1"/>
  <c r="E15" i="1"/>
  <c r="E16" i="1"/>
  <c r="E17" i="1"/>
  <c r="E18" i="1"/>
  <c r="E19" i="1"/>
  <c r="E20" i="1"/>
  <c r="E21" i="1"/>
  <c r="E22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J13" i="2"/>
  <c r="J14" i="2"/>
  <c r="J15" i="2"/>
  <c r="J9" i="2"/>
  <c r="J11" i="2"/>
  <c r="I10" i="2"/>
  <c r="I11" i="2"/>
  <c r="I12" i="2"/>
  <c r="I13" i="2"/>
  <c r="I14" i="2"/>
  <c r="I15" i="2"/>
  <c r="I9" i="2"/>
  <c r="E2" i="1"/>
  <c r="F24" i="2" l="1"/>
  <c r="C24" i="2"/>
  <c r="B24" i="2"/>
  <c r="L10" i="2"/>
  <c r="L11" i="2"/>
  <c r="L12" i="2"/>
  <c r="L13" i="2"/>
  <c r="L14" i="2"/>
  <c r="L15" i="2"/>
  <c r="L16" i="2"/>
  <c r="B10" i="2"/>
  <c r="B11" i="2"/>
  <c r="B12" i="2"/>
  <c r="B13" i="2"/>
  <c r="G24" i="2" l="1"/>
  <c r="I16" i="2"/>
  <c r="J16" i="2"/>
  <c r="I17" i="2"/>
  <c r="J17" i="2"/>
  <c r="K4" i="2"/>
  <c r="K5" i="2"/>
  <c r="L5" i="2"/>
  <c r="L4" i="2"/>
  <c r="K15" i="2" l="1"/>
  <c r="K17" i="2"/>
  <c r="K16" i="2"/>
  <c r="L9" i="2" l="1"/>
  <c r="B23" i="2"/>
  <c r="C23" i="2"/>
  <c r="F23" i="2"/>
  <c r="F22" i="2"/>
  <c r="C22" i="2"/>
  <c r="B22" i="2"/>
  <c r="E9" i="2"/>
  <c r="B9" i="2"/>
  <c r="E11" i="2"/>
  <c r="E12" i="2"/>
  <c r="E13" i="2"/>
  <c r="B14" i="2"/>
  <c r="C14" i="2"/>
  <c r="E14" i="2"/>
  <c r="B15" i="2"/>
  <c r="E15" i="2"/>
  <c r="B16" i="2"/>
  <c r="C16" i="2"/>
  <c r="E16" i="2"/>
  <c r="E10" i="2"/>
  <c r="D16" i="2" l="1"/>
  <c r="D14" i="2"/>
  <c r="E17" i="2" l="1"/>
  <c r="B17" i="2"/>
  <c r="B7" i="2" l="1"/>
  <c r="C180" i="1" l="1"/>
  <c r="P4" i="2" l="1"/>
  <c r="N179" i="1" l="1"/>
  <c r="P16" i="2" l="1"/>
  <c r="P15" i="2"/>
  <c r="P14" i="2"/>
  <c r="P13" i="2"/>
  <c r="P12" i="2"/>
  <c r="P11" i="2"/>
  <c r="P10" i="2"/>
  <c r="P9" i="2"/>
  <c r="P8" i="2"/>
  <c r="P7" i="2"/>
  <c r="P6" i="2"/>
  <c r="P5" i="2"/>
  <c r="N2" i="1" l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L25" i="2"/>
  <c r="L24" i="2"/>
  <c r="L23" i="2"/>
  <c r="L22" i="2"/>
  <c r="K24" i="2"/>
  <c r="K23" i="2"/>
  <c r="K25" i="2"/>
  <c r="K22" i="2"/>
  <c r="J25" i="2"/>
  <c r="J24" i="2"/>
  <c r="J23" i="2"/>
  <c r="J22" i="2"/>
  <c r="E5" i="2" l="1"/>
  <c r="E6" i="2" l="1"/>
  <c r="I6" i="2"/>
  <c r="I3" i="2"/>
  <c r="B3" i="2"/>
  <c r="B6" i="2"/>
  <c r="F17" i="2" l="1"/>
  <c r="F11" i="2"/>
  <c r="F16" i="2"/>
  <c r="F12" i="2"/>
  <c r="F15" i="2"/>
  <c r="F13" i="2"/>
  <c r="F14" i="2"/>
  <c r="E3" i="2"/>
  <c r="G23" i="2"/>
  <c r="G22" i="2"/>
  <c r="F10" i="2"/>
  <c r="F9" i="2"/>
  <c r="E51" i="1" l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K11" i="2" l="1"/>
  <c r="D24" i="2"/>
  <c r="E24" i="2" s="1"/>
  <c r="C15" i="2"/>
  <c r="D15" i="2" s="1"/>
  <c r="K13" i="2"/>
  <c r="C11" i="2" l="1"/>
  <c r="D11" i="2" s="1"/>
  <c r="K9" i="2"/>
  <c r="C13" i="2"/>
  <c r="D13" i="2" s="1"/>
  <c r="K12" i="2"/>
  <c r="K10" i="2"/>
  <c r="C10" i="2"/>
  <c r="C12" i="2"/>
  <c r="D12" i="2" s="1"/>
  <c r="K14" i="2"/>
  <c r="C9" i="2"/>
  <c r="D9" i="2" s="1"/>
  <c r="D22" i="2"/>
  <c r="E22" i="2" s="1"/>
  <c r="D23" i="2"/>
  <c r="E23" i="2" s="1"/>
  <c r="C17" i="2"/>
  <c r="D17" i="2" s="1"/>
  <c r="M25" i="2"/>
  <c r="M22" i="2"/>
  <c r="E4" i="2" l="1"/>
  <c r="M24" i="2" l="1"/>
  <c r="D10" i="2"/>
  <c r="B4" i="2"/>
  <c r="B5" i="2" s="1"/>
  <c r="M23" i="2"/>
  <c r="I4" i="2"/>
  <c r="I5" i="2" s="1"/>
</calcChain>
</file>

<file path=xl/sharedStrings.xml><?xml version="1.0" encoding="utf-8"?>
<sst xmlns="http://schemas.openxmlformats.org/spreadsheetml/2006/main" count="407" uniqueCount="215">
  <si>
    <t>Sold/Won</t>
  </si>
  <si>
    <t>Pipeline/Open SOWs</t>
  </si>
  <si>
    <t>Total Revenue Sold</t>
  </si>
  <si>
    <t>Win %</t>
  </si>
  <si>
    <t>Total Open Rev</t>
  </si>
  <si>
    <t>Open</t>
  </si>
  <si>
    <t>Rev</t>
  </si>
  <si>
    <t>Signed by Month</t>
  </si>
  <si>
    <t>Total GP</t>
  </si>
  <si>
    <t>Avg Days to Sign</t>
  </si>
  <si>
    <t>Total Open GP</t>
  </si>
  <si>
    <t>Dec</t>
  </si>
  <si>
    <t>Total GP %</t>
  </si>
  <si>
    <t>Lost Opps</t>
  </si>
  <si>
    <t>Open GP %</t>
  </si>
  <si>
    <t>Jan</t>
  </si>
  <si>
    <t>Total Won Opps</t>
  </si>
  <si>
    <t>Loss %</t>
  </si>
  <si>
    <t>Total Open SOWs</t>
  </si>
  <si>
    <t>Feb</t>
  </si>
  <si>
    <t>Avg Win Size</t>
  </si>
  <si>
    <t>Mar</t>
  </si>
  <si>
    <t>Practice Area</t>
  </si>
  <si>
    <t>GP</t>
  </si>
  <si>
    <t>GP %</t>
  </si>
  <si>
    <t>Opps Sold</t>
  </si>
  <si>
    <t>Rev Share</t>
  </si>
  <si>
    <t>Opps Open</t>
  </si>
  <si>
    <t>Apr</t>
  </si>
  <si>
    <t>May</t>
  </si>
  <si>
    <t>Jun</t>
  </si>
  <si>
    <t>Jul</t>
  </si>
  <si>
    <t>Aug</t>
  </si>
  <si>
    <t>Sep</t>
  </si>
  <si>
    <t>Migration</t>
  </si>
  <si>
    <t>Oct</t>
  </si>
  <si>
    <t>Nov</t>
  </si>
  <si>
    <t>Presales</t>
  </si>
  <si>
    <t>Deal Size Stats</t>
  </si>
  <si>
    <t>SOWs Won</t>
  </si>
  <si>
    <t>Rev Sold</t>
  </si>
  <si>
    <t>GP Sold</t>
  </si>
  <si>
    <t>GP % Sold</t>
  </si>
  <si>
    <t>SOWs Written</t>
  </si>
  <si>
    <t>Close Rate</t>
  </si>
  <si>
    <t>Scoped</t>
  </si>
  <si>
    <t>Signed</t>
  </si>
  <si>
    <t>Rev Signed</t>
  </si>
  <si>
    <t>Under $10,000</t>
  </si>
  <si>
    <t>$10,000 --&gt; $24,999</t>
  </si>
  <si>
    <t>$25,000 --&gt; $99,999</t>
  </si>
  <si>
    <t>$100,000 +</t>
  </si>
  <si>
    <t>Date Signed</t>
  </si>
  <si>
    <t>Hours</t>
  </si>
  <si>
    <t>GP $</t>
  </si>
  <si>
    <t>Qorus Opp</t>
  </si>
  <si>
    <t>Client</t>
  </si>
  <si>
    <t>Project Name</t>
  </si>
  <si>
    <t>Resource(s)</t>
  </si>
  <si>
    <t>Status</t>
  </si>
  <si>
    <t>Tech Approval</t>
  </si>
  <si>
    <t>Days to Sign</t>
  </si>
  <si>
    <t>AE</t>
  </si>
  <si>
    <t>Overall Rev</t>
  </si>
  <si>
    <t>Overall GP</t>
  </si>
  <si>
    <t>Health Check</t>
  </si>
  <si>
    <t>Devan</t>
  </si>
  <si>
    <t>Steve</t>
  </si>
  <si>
    <t>Platform Engineering</t>
  </si>
  <si>
    <t>Jodie Faringside</t>
  </si>
  <si>
    <t>Out for Signature</t>
  </si>
  <si>
    <t>Azure Landing Zone</t>
  </si>
  <si>
    <t>TBD</t>
  </si>
  <si>
    <t>Lantic</t>
  </si>
  <si>
    <t>Security</t>
  </si>
  <si>
    <t>Chris</t>
  </si>
  <si>
    <t>Mt. Pleasant Group</t>
  </si>
  <si>
    <t>Wolf</t>
  </si>
  <si>
    <t>ASAM</t>
  </si>
  <si>
    <t>Kids Ability</t>
  </si>
  <si>
    <t>Landing Zone</t>
  </si>
  <si>
    <t>Brendan, Onome</t>
  </si>
  <si>
    <t>Backup RPO</t>
  </si>
  <si>
    <t>BCDR</t>
  </si>
  <si>
    <t>Equisoft</t>
  </si>
  <si>
    <t>LTI Mindtree</t>
  </si>
  <si>
    <t>Eclipse</t>
  </si>
  <si>
    <t>Novatel</t>
  </si>
  <si>
    <t>Multi-Cloud Gap Assessment</t>
  </si>
  <si>
    <t>Brendan, Joe</t>
  </si>
  <si>
    <t>Chris Mckenzie</t>
  </si>
  <si>
    <t>Stephane Lourenco</t>
  </si>
  <si>
    <t>Rebekah Guanlao</t>
  </si>
  <si>
    <t>AWS Cost Optimization</t>
  </si>
  <si>
    <t>Brett</t>
  </si>
  <si>
    <t>AWS</t>
  </si>
  <si>
    <t>Artem, Joe</t>
  </si>
  <si>
    <t>IAMGOLD</t>
  </si>
  <si>
    <t>Josh, Onome</t>
  </si>
  <si>
    <t>Alok Khant</t>
  </si>
  <si>
    <t>Amphenol</t>
  </si>
  <si>
    <t>Azure Migration</t>
  </si>
  <si>
    <t>Artem, Onome</t>
  </si>
  <si>
    <t>Abhishek Baghel</t>
  </si>
  <si>
    <t>Venterra</t>
  </si>
  <si>
    <t>Deltera</t>
  </si>
  <si>
    <t>Fournier et Fils</t>
  </si>
  <si>
    <t>Bucket of Hours</t>
  </si>
  <si>
    <t>Artem</t>
  </si>
  <si>
    <t>Ontario Science Center</t>
  </si>
  <si>
    <t>Joe</t>
  </si>
  <si>
    <t>PayFacto</t>
  </si>
  <si>
    <t>Metro Supply Group</t>
  </si>
  <si>
    <t>Mount Pleasant Group of Cemeteries</t>
  </si>
  <si>
    <t>Azure Tenant Move</t>
  </si>
  <si>
    <t>Brendan</t>
  </si>
  <si>
    <t>Maxime Deguire</t>
  </si>
  <si>
    <t>Ovintiv</t>
  </si>
  <si>
    <t>Eva AI Migration and Front End</t>
  </si>
  <si>
    <t>Brett, Ryan</t>
  </si>
  <si>
    <t>Comment</t>
  </si>
  <si>
    <t>Eclipse CR</t>
  </si>
  <si>
    <t>Azure VMware Solution</t>
  </si>
  <si>
    <t>Orbcomm</t>
  </si>
  <si>
    <t>Azure Firewall Implementation</t>
  </si>
  <si>
    <t>KDC</t>
  </si>
  <si>
    <t>Mevotech</t>
  </si>
  <si>
    <t>ASS De La Const Du Que</t>
  </si>
  <si>
    <t>CentreCorp</t>
  </si>
  <si>
    <t>Need to follow up with the Account Executive.</t>
  </si>
  <si>
    <t>Le Groupe Master</t>
  </si>
  <si>
    <t>North River Midstream</t>
  </si>
  <si>
    <t>Paula sent an email to the customer.</t>
  </si>
  <si>
    <t>Josh</t>
  </si>
  <si>
    <t>Graham</t>
  </si>
  <si>
    <t>Powerex</t>
  </si>
  <si>
    <t>OCIL</t>
  </si>
  <si>
    <t>Gibson</t>
  </si>
  <si>
    <t>Mcard</t>
  </si>
  <si>
    <t>Ravin</t>
  </si>
  <si>
    <t>Bucket of Hours (Josh)</t>
  </si>
  <si>
    <t>Josh Geck</t>
  </si>
  <si>
    <t>Azure</t>
  </si>
  <si>
    <t>Michael Mckenzie</t>
  </si>
  <si>
    <t>HCI Migration</t>
  </si>
  <si>
    <t>Docusign workflow soon</t>
  </si>
  <si>
    <t>Ryan is talking to the client with Sheila</t>
  </si>
  <si>
    <t>Devan redirected back to Steve for review</t>
  </si>
  <si>
    <t>Sent proposal.</t>
  </si>
  <si>
    <t>Blob for veeam backup repository.   Steve to find out if there is a contract number.</t>
  </si>
  <si>
    <t>Alex (AE) was talking to VP of IT.   Workflow had been cancelled but oppt still there.</t>
  </si>
  <si>
    <t>Devan to follow up with Jamie</t>
  </si>
  <si>
    <t>Windows Server Upgrades</t>
  </si>
  <si>
    <t>GoA</t>
  </si>
  <si>
    <t>SPG</t>
  </si>
  <si>
    <t>Azure Site Recovery</t>
  </si>
  <si>
    <t>VM Migration</t>
  </si>
  <si>
    <t>Davis Ward (DWPV)</t>
  </si>
  <si>
    <t>Azure FinOps</t>
  </si>
  <si>
    <t>Paul Anon</t>
  </si>
  <si>
    <t>Mohawk Council Of Akwesasne</t>
  </si>
  <si>
    <t>QPS</t>
  </si>
  <si>
    <t>Azure Files Migration</t>
  </si>
  <si>
    <t>Azure Local - ASAM</t>
  </si>
  <si>
    <t>Josh has created a quick proposal, no SOW yet</t>
  </si>
  <si>
    <t>Azure to AWS Migration Project</t>
  </si>
  <si>
    <t>Kingston Midstream</t>
  </si>
  <si>
    <t>Tenant Fabric Move</t>
  </si>
  <si>
    <t>Devan/Dan</t>
  </si>
  <si>
    <t>Won</t>
  </si>
  <si>
    <t>Erin Wallace</t>
  </si>
  <si>
    <t>Scoping</t>
  </si>
  <si>
    <t>Followup to a WAFR that we did for them</t>
  </si>
  <si>
    <t>Dead</t>
  </si>
  <si>
    <t>Maxims</t>
  </si>
  <si>
    <t>Paula Eerdmans</t>
  </si>
  <si>
    <t>Dan is going to chat with them at EBC</t>
  </si>
  <si>
    <t>Proposal has been sent out</t>
  </si>
  <si>
    <t>CR - Commvault Cloud Rewind</t>
  </si>
  <si>
    <t>Linamar</t>
  </si>
  <si>
    <t>DevShop</t>
  </si>
  <si>
    <t>GitHub Copilot</t>
  </si>
  <si>
    <t>Storage Account</t>
  </si>
  <si>
    <t>Databricks</t>
  </si>
  <si>
    <t>Keyera</t>
  </si>
  <si>
    <t>6 Month FTE - Brendan</t>
  </si>
  <si>
    <t>Cost Optimization</t>
  </si>
  <si>
    <t>Cloud Migration</t>
  </si>
  <si>
    <t>Artem, Ryan</t>
  </si>
  <si>
    <t>Factors Group</t>
  </si>
  <si>
    <t>Kay Bank</t>
  </si>
  <si>
    <t>No updates, Steve to follow up</t>
  </si>
  <si>
    <t>Omer</t>
  </si>
  <si>
    <t>Robert Groome</t>
  </si>
  <si>
    <t>Microsoft is still educating customer on Landing Zone.</t>
  </si>
  <si>
    <t>Bucket of hours has been sent for VMware stuff</t>
  </si>
  <si>
    <t>Meeting with them in February</t>
  </si>
  <si>
    <t>Came back with additional changes - increase to effort.</t>
  </si>
  <si>
    <t>PO is on the way</t>
  </si>
  <si>
    <t>Jonathan Gracewood</t>
  </si>
  <si>
    <t>CR for additional scope</t>
  </si>
  <si>
    <t>Reporting Hub</t>
  </si>
  <si>
    <t>Merge Azure Tenants</t>
  </si>
  <si>
    <t>Mcelhanney</t>
  </si>
  <si>
    <t>Azure Health Check</t>
  </si>
  <si>
    <t>Waiting on customer questionnaire.</t>
  </si>
  <si>
    <t>Meeting with Nick/Dave around this on Friday.</t>
  </si>
  <si>
    <t>Sent proposal to client.   Potential funding available?</t>
  </si>
  <si>
    <t>Dan has the tenant portion incorporated into our SOW.</t>
  </si>
  <si>
    <t>Canaccord</t>
  </si>
  <si>
    <t>Greg Albin</t>
  </si>
  <si>
    <t>Canwell</t>
  </si>
  <si>
    <t>OLA Followup</t>
  </si>
  <si>
    <t>Ravin meeting with Mark Convey</t>
  </si>
  <si>
    <t>Cybersecurity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</si>
</sst>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&quot;$&quot;#,##0.00"/>
    <numFmt numFmtId="166" formatCode="_-[$$-1009]* #,##0.00_-;\-[$$-1009]* #,##0.00_-;_-[$$-1009]* &quot;-&quot;??_-;_-@_-"/>
    <numFmt numFmtId="167" formatCode="0.0%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5">
    <xf numFmtId="0" fontId="0" fillId="0" borderId="0" xfId="0"/>
    <xf numFmtId="165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1" applyFont="1" applyBorder="1"/>
    <xf numFmtId="0" fontId="0" fillId="0" borderId="4" xfId="0" applyBorder="1"/>
    <xf numFmtId="0" fontId="0" fillId="0" borderId="5" xfId="0" applyBorder="1"/>
    <xf numFmtId="165" fontId="0" fillId="0" borderId="5" xfId="0" applyNumberFormat="1" applyBorder="1"/>
    <xf numFmtId="0" fontId="3" fillId="0" borderId="4" xfId="0" applyFont="1" applyBorder="1"/>
    <xf numFmtId="0" fontId="3" fillId="0" borderId="5" xfId="0" applyFont="1" applyBorder="1"/>
    <xf numFmtId="166" fontId="0" fillId="0" borderId="0" xfId="0" applyNumberFormat="1"/>
    <xf numFmtId="0" fontId="0" fillId="0" borderId="6" xfId="0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1" applyNumberFormat="1" applyFont="1" applyBorder="1"/>
    <xf numFmtId="0" fontId="0" fillId="0" borderId="7" xfId="0" applyBorder="1"/>
    <xf numFmtId="167" fontId="0" fillId="0" borderId="8" xfId="1" applyNumberFormat="1" applyFont="1" applyBorder="1"/>
    <xf numFmtId="166" fontId="0" fillId="0" borderId="5" xfId="0" applyNumberFormat="1" applyBorder="1"/>
    <xf numFmtId="166" fontId="0" fillId="0" borderId="8" xfId="0" applyNumberFormat="1" applyBorder="1"/>
    <xf numFmtId="0" fontId="0" fillId="0" borderId="5" xfId="0" applyBorder="1" applyAlignment="1">
      <alignment horizontal="center"/>
    </xf>
    <xf numFmtId="164" fontId="0" fillId="0" borderId="5" xfId="2" applyFont="1" applyBorder="1"/>
    <xf numFmtId="164" fontId="0" fillId="0" borderId="8" xfId="2" applyFont="1" applyBorder="1"/>
    <xf numFmtId="0" fontId="0" fillId="0" borderId="7" xfId="0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7" xfId="0" applyNumberForma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6" fillId="0" borderId="5" xfId="1" applyFont="1" applyBorder="1" applyAlignment="1">
      <alignment horizontal="center"/>
    </xf>
    <xf numFmtId="9" fontId="0" fillId="0" borderId="5" xfId="0" applyNumberFormat="1" applyBorder="1"/>
    <xf numFmtId="0" fontId="0" fillId="0" borderId="0" xfId="0" applyAlignment="1">
      <alignment horizontal="right"/>
    </xf>
    <xf numFmtId="10" fontId="0" fillId="0" borderId="0" xfId="0" applyNumberFormat="1"/>
    <xf numFmtId="0" fontId="3" fillId="0" borderId="0" xfId="0" applyFont="1"/>
    <xf numFmtId="167" fontId="0" fillId="0" borderId="0" xfId="0" applyNumberFormat="1"/>
    <xf numFmtId="2" fontId="0" fillId="0" borderId="0" xfId="0" applyNumberFormat="1"/>
    <xf numFmtId="0" fontId="0" fillId="2" borderId="0" xfId="0" applyFill="1"/>
    <xf numFmtId="16" fontId="0" fillId="0" borderId="0" xfId="0" applyNumberFormat="1"/>
    <xf numFmtId="0" fontId="7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&quot;$&quot;#,##0.00"/>
    </dxf>
    <dxf>
      <numFmt numFmtId="165" formatCode="&quot;$&quot;#,##0.0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&quot;$&quot;#,##0.00"/>
    </dxf>
    <dxf>
      <numFmt numFmtId="165" formatCode="&quot;$&quot;#,##0.00"/>
    </dxf>
    <dxf>
      <numFmt numFmtId="13" formatCode="0%"/>
    </dxf>
    <dxf>
      <numFmt numFmtId="13" formatCode="0%"/>
    </dxf>
    <dxf>
      <numFmt numFmtId="165" formatCode="&quot;$&quot;#,##0.00"/>
    </dxf>
    <dxf>
      <numFmt numFmtId="165" formatCode="&quot;$&quot;#,##0.0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NoLossesNoPaused" id="{CB3ED989-C72F-4462-8830-745248C7E253}">
    <nsvFilter filterId="{4FAB5D1A-E07C-4989-8649-BBD3365EA8BC}" ref="A1:R179" tableId="1">
      <columnFilter colId="11" id="{5FD1D8E9-6D2A-472D-AFC9-532FA1C06366}">
        <filter colId="11">
          <x:filters blank="1">
            <x:filter val="Out for signature"/>
            <x:filter val="Won"/>
          </x:filters>
        </filter>
      </columnFilter>
      <sortRules>
        <sortRule colId="12" id="{1887429A-50BD-4A07-A239-D6C8263B0377}">
          <sortCondition ref="M1:M179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B5D1A-E07C-4989-8649-BBD3365EA8BC}" name="Table1" displayName="Table1" ref="A1:R180" totalsRowCount="1">
  <autoFilter ref="A1:R179" xr:uid="{4FAB5D1A-E07C-4989-8649-BBD3365EA8BC}">
    <filterColumn colId="11">
      <filters>
        <filter val="Out for Signature"/>
      </filters>
    </filterColumn>
  </autoFilter>
  <tableColumns count="18">
    <tableColumn id="1" xr3:uid="{85524208-40E3-4AE4-B6B8-CC02B3899485}" name="Date Signed"/>
    <tableColumn id="2" xr3:uid="{6F85BCBC-D04B-4EFA-842B-30AE18E88717}" name="Hours" dataDxfId="21" totalsRowDxfId="20"/>
    <tableColumn id="3" xr3:uid="{3AAB4F44-1E0F-4411-9E9E-4B10DFCF53D5}" name="Rev" totalsRowFunction="sum" dataDxfId="19" totalsRowDxfId="18"/>
    <tableColumn id="5" xr3:uid="{6BB28C94-F24C-484F-9626-76B0247F34DA}" name="GP %" dataDxfId="17" totalsRowDxfId="16"/>
    <tableColumn id="11" xr3:uid="{D9FD6B16-F365-487E-8CF1-EE352704DA66}" name="GP $" dataDxfId="15" totalsRowDxfId="14">
      <calculatedColumnFormula>Table1[[#This Row],[Rev]]*Table1[[#This Row],[GP %]]</calculatedColumnFormula>
    </tableColumn>
    <tableColumn id="6" xr3:uid="{053EE6DA-24CC-4202-8F32-CAB152D36F68}" name="Qorus Opp" dataDxfId="13" totalsRowDxfId="12"/>
    <tableColumn id="7" xr3:uid="{8841DAB8-69C5-4E8F-A532-D86101184854}" name="Client"/>
    <tableColumn id="8" xr3:uid="{52708CCD-5D88-49AC-B176-4D964A056820}" name="Project Name"/>
    <tableColumn id="4" xr3:uid="{E224DD1F-FAEE-49BB-92AE-62C1F4CF45AC}" name="Resource(s)"/>
    <tableColumn id="9" xr3:uid="{DF5EFC5F-1589-4F67-B758-F76667EDB80C}" name="Practice Area"/>
    <tableColumn id="10" xr3:uid="{D708BBBA-66A6-412C-9EDC-6F035677F1FB}" name="Presales"/>
    <tableColumn id="12" xr3:uid="{5FD1D8E9-6D2A-472D-AFC9-532FA1C06366}" name="Status"/>
    <tableColumn id="13" xr3:uid="{1887429A-50BD-4A07-A239-D6C8263B0377}" name="Tech Approval"/>
    <tableColumn id="14" xr3:uid="{71A1FC40-5903-40E5-A13F-9F10C7876EDF}" name="Days to Sign" dataDxfId="11">
      <calculatedColumnFormula>Table1[[#This Row],[Date Signed]]-Table1[[#This Row],[Tech Approval]]</calculatedColumnFormula>
    </tableColumn>
    <tableColumn id="15" xr3:uid="{A7092C95-C78E-46D0-9B24-D9EBD59C8D53}" name="AE" dataDxfId="10"/>
    <tableColumn id="16" xr3:uid="{25A961D6-8ED6-4FDC-B52D-4BB0EDFA2DAA}" name="Overall Rev" dataDxfId="9"/>
    <tableColumn id="17" xr3:uid="{802ECF4C-950D-42A9-88A9-D886473F4A56}" name="Overall GP" dataDxfId="8"/>
    <tableColumn id="18" xr3:uid="{D7BFAF88-95BB-425F-8DED-6AAD537DB922}" name="Comment" dataDxfId="7" totalsRow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B77C-0699-4975-BC28-5983AEEAA2D6}">
  <dimension ref="A1:P26"/>
  <sheetViews>
    <sheetView zoomScaleNormal="100" workbookViewId="0">
      <selection activeCell="B17" sqref="B17"/>
    </sheetView>
  </sheetViews>
  <sheetFormatPr defaultRowHeight="14.4" x14ac:dyDescent="0.3"/>
  <cols>
    <col min="1" max="1" width="22.88671875" customWidth="1"/>
    <col min="2" max="2" width="13.6640625" customWidth="1"/>
    <col min="3" max="3" width="15.5546875" customWidth="1"/>
    <col min="4" max="4" width="18.109375" customWidth="1"/>
    <col min="5" max="5" width="13.88671875" customWidth="1"/>
    <col min="6" max="6" width="14.88671875" customWidth="1"/>
    <col min="7" max="7" width="10.44140625" customWidth="1"/>
    <col min="8" max="8" width="23.33203125" customWidth="1"/>
    <col min="9" max="9" width="18.6640625" customWidth="1"/>
    <col min="10" max="10" width="14" customWidth="1"/>
    <col min="11" max="11" width="9.109375" customWidth="1"/>
    <col min="12" max="12" width="14" customWidth="1"/>
    <col min="13" max="13" width="13.6640625" customWidth="1"/>
    <col min="14" max="14" width="3.88671875" customWidth="1"/>
    <col min="16" max="16" width="14.6640625" customWidth="1"/>
  </cols>
  <sheetData>
    <row r="1" spans="1:16" ht="15" thickBot="1" x14ac:dyDescent="0.35"/>
    <row r="2" spans="1:16" ht="22.2" thickTop="1" thickBot="1" x14ac:dyDescent="0.45">
      <c r="A2" s="40" t="s">
        <v>0</v>
      </c>
      <c r="B2" s="41"/>
      <c r="C2" s="41"/>
      <c r="D2" s="41"/>
      <c r="E2" s="41"/>
      <c r="F2" s="42"/>
      <c r="H2" s="40" t="s">
        <v>1</v>
      </c>
      <c r="I2" s="41"/>
      <c r="J2" s="41"/>
      <c r="K2" s="41"/>
      <c r="L2" s="42"/>
    </row>
    <row r="3" spans="1:16" ht="15" thickTop="1" x14ac:dyDescent="0.3">
      <c r="A3" s="7" t="s">
        <v>2</v>
      </c>
      <c r="B3" s="1">
        <f>SUMIF(Detail!$L$2:$L$269,"Won",Detail!$C$2:$C$269)</f>
        <v>2515489</v>
      </c>
      <c r="D3" t="s">
        <v>3</v>
      </c>
      <c r="E3" s="6">
        <f>B6/SUM(F22:F23)</f>
        <v>0.41025641025641024</v>
      </c>
      <c r="F3" s="29"/>
      <c r="H3" s="7" t="s">
        <v>4</v>
      </c>
      <c r="I3" s="1">
        <f>SUMIF(Detail!$L$2:$L$269,"Out For Signature",Detail!$C$2:$C$269)</f>
        <v>410843.8</v>
      </c>
      <c r="K3" t="s">
        <v>5</v>
      </c>
      <c r="L3" s="8" t="s">
        <v>6</v>
      </c>
      <c r="O3" s="43" t="s">
        <v>7</v>
      </c>
      <c r="P3" s="44"/>
    </row>
    <row r="4" spans="1:16" x14ac:dyDescent="0.3">
      <c r="A4" s="7" t="s">
        <v>8</v>
      </c>
      <c r="B4" s="1">
        <f ca="1">SUMIF(Detail!$L$2:$L$270,"Won",Detail!$E$2:$E$269)</f>
        <v>733810.77</v>
      </c>
      <c r="D4" t="s">
        <v>9</v>
      </c>
      <c r="E4" s="34">
        <f>AVERAGEIFS(Table1[Days to Sign], Table1[Status], "Won")</f>
        <v>151.72727272727272</v>
      </c>
      <c r="F4" s="8"/>
      <c r="H4" s="7" t="s">
        <v>10</v>
      </c>
      <c r="I4" s="1">
        <f ca="1">SUMIF(Detail!$L$2:$L$270,"Out For Signature",Detail!$E$2:$E$269)</f>
        <v>55343.123999999996</v>
      </c>
      <c r="J4" s="30" t="s">
        <v>66</v>
      </c>
      <c r="K4">
        <f>COUNTIFS(Table1[Presales],J4,Table1[Status],"Out For Signature")</f>
        <v>1</v>
      </c>
      <c r="L4" s="9">
        <f>SUMIFS(Detail!$C$2:$C$269,Detail!$K$2:$K$269,J4,Detail!$L$2:$L$269,"Out For Signature")</f>
        <v>62490</v>
      </c>
      <c r="O4" s="7" t="s">
        <v>11</v>
      </c>
      <c r="P4" s="22">
        <f>SUMIFS(Table1[Rev],Table1[Date Signed],"&gt;=01-Dec-2023",Table1[Date Signed],"&lt;=31-Dec-2023",Table1[Status],"Won")</f>
        <v>0</v>
      </c>
    </row>
    <row r="5" spans="1:16" x14ac:dyDescent="0.3">
      <c r="A5" s="7" t="s">
        <v>12</v>
      </c>
      <c r="B5" s="31">
        <f ca="1">B4/B3</f>
        <v>0.29171694648634916</v>
      </c>
      <c r="D5" t="s">
        <v>13</v>
      </c>
      <c r="E5">
        <f>COUNTIF(Table1[Status],"Lost")</f>
        <v>0</v>
      </c>
      <c r="F5" s="8"/>
      <c r="H5" s="7" t="s">
        <v>14</v>
      </c>
      <c r="I5" s="31">
        <f ca="1">I4/I3</f>
        <v>0.13470599775389089</v>
      </c>
      <c r="J5" s="30" t="s">
        <v>67</v>
      </c>
      <c r="K5">
        <f>COUNTIFS(Table1[Presales],J5,Table1[Status],"Out For Signature")</f>
        <v>5</v>
      </c>
      <c r="L5" s="9">
        <f>SUMIFS(Detail!$C$2:$C$269,Detail!$K$2:$K$269,J5,Detail!$L$2:$L$269,"Out For Signature")</f>
        <v>92985.8</v>
      </c>
      <c r="O5" s="7" t="s">
        <v>15</v>
      </c>
      <c r="P5" s="22">
        <f>SUMIFS(Table1[Rev],Table1[Date Signed],"&gt;=01-Jan-2024",Table1[Date Signed],"&lt;=31-Jan-2024",Table1[Status],"Won")</f>
        <v>0</v>
      </c>
    </row>
    <row r="6" spans="1:16" x14ac:dyDescent="0.3">
      <c r="A6" s="7" t="s">
        <v>16</v>
      </c>
      <c r="B6">
        <f>COUNTIF(Table1[Status],"Won")</f>
        <v>16</v>
      </c>
      <c r="D6" t="s">
        <v>17</v>
      </c>
      <c r="E6" s="6">
        <f>E5/SUM(F22:F23)</f>
        <v>0</v>
      </c>
      <c r="F6" s="8"/>
      <c r="H6" s="7" t="s">
        <v>18</v>
      </c>
      <c r="I6">
        <f>COUNTIF(Table1[Status],"Out For Signature")</f>
        <v>7</v>
      </c>
      <c r="L6" s="8"/>
      <c r="O6" s="7" t="s">
        <v>19</v>
      </c>
      <c r="P6" s="22">
        <f>SUMIFS(Table1[Rev],Table1[Date Signed],"&gt;=01-Feb-2024",Table1[Date Signed],"&lt;=29-Feb-2024",Table1[Status],"Won")</f>
        <v>0</v>
      </c>
    </row>
    <row r="7" spans="1:16" x14ac:dyDescent="0.3">
      <c r="A7" s="7" t="s">
        <v>20</v>
      </c>
      <c r="B7" s="1">
        <f>AVERAGEIF(Detail!$L$2:$L$269,"Won",Detail!$C$2:$C$269)</f>
        <v>157218.0625</v>
      </c>
      <c r="F7" s="8"/>
      <c r="H7" s="7"/>
      <c r="L7" s="8"/>
      <c r="O7" s="7" t="s">
        <v>21</v>
      </c>
      <c r="P7" s="22">
        <f>SUMIFS(Table1[Rev],Table1[Date Signed],"&gt;=01-Mar-2024",Table1[Date Signed],"&lt;=31-Mar-2024",Table1[Status],"Won")</f>
        <v>0</v>
      </c>
    </row>
    <row r="8" spans="1:16" x14ac:dyDescent="0.3">
      <c r="A8" s="10" t="s">
        <v>22</v>
      </c>
      <c r="B8" s="32" t="s">
        <v>6</v>
      </c>
      <c r="C8" s="32" t="s">
        <v>23</v>
      </c>
      <c r="D8" s="32" t="s">
        <v>24</v>
      </c>
      <c r="E8" s="32" t="s">
        <v>25</v>
      </c>
      <c r="F8" s="11" t="s">
        <v>26</v>
      </c>
      <c r="H8" s="10" t="s">
        <v>22</v>
      </c>
      <c r="I8" s="32" t="s">
        <v>6</v>
      </c>
      <c r="J8" s="32" t="s">
        <v>23</v>
      </c>
      <c r="K8" s="32" t="s">
        <v>24</v>
      </c>
      <c r="L8" s="11" t="s">
        <v>27</v>
      </c>
      <c r="O8" s="7" t="s">
        <v>28</v>
      </c>
      <c r="P8" s="22">
        <f>SUMIFS(Table1[Rev],Table1[Date Signed],"&gt;=01-Apr-2024",Table1[Date Signed],"&lt;=30-Apr-2024",Table1[Status],"Won")</f>
        <v>0</v>
      </c>
    </row>
    <row r="9" spans="1:16" x14ac:dyDescent="0.3">
      <c r="A9" s="7" t="s">
        <v>65</v>
      </c>
      <c r="B9" s="12">
        <f>SUMIFS(Detail!$C$2:$C$269,Detail!$J$2:$J$269,A9,Detail!$L$2:$L$269,"Won")</f>
        <v>0</v>
      </c>
      <c r="C9" s="12">
        <f>SUMIFS(Detail!$E$2:$E$269,Detail!$J$2:$J$269,A9,Detail!$L$2:$L$269,"Won")</f>
        <v>0</v>
      </c>
      <c r="D9" s="33" t="e">
        <f>C9/B9</f>
        <v>#DIV/0!</v>
      </c>
      <c r="E9">
        <f>COUNTIFS(Table1[Practice Area],A9,Table1[Status],"Won")</f>
        <v>0</v>
      </c>
      <c r="F9" s="16">
        <f>B9/$B$3</f>
        <v>0</v>
      </c>
      <c r="H9" s="7" t="s">
        <v>65</v>
      </c>
      <c r="I9" s="12">
        <f>SUMIFS(Detail!$C$2:$C$269,Detail!$J$2:$J$269,H9,Detail!$L$2:$L$269,"Out for Signature")</f>
        <v>0</v>
      </c>
      <c r="J9" s="12">
        <f>SUMIFS(Detail!$E$2:$E$269,Detail!$J$2:$J$269,H9,Detail!$L$2:$L$269,"Out for Signature")</f>
        <v>0</v>
      </c>
      <c r="K9" s="33" t="e">
        <f>J9/I9</f>
        <v>#DIV/0!</v>
      </c>
      <c r="L9" s="8">
        <f>COUNTIFS(Table1[Practice Area],H9,Table1[Status],"Out For Signature")</f>
        <v>0</v>
      </c>
      <c r="O9" s="7" t="s">
        <v>29</v>
      </c>
      <c r="P9" s="22">
        <f>SUMIFS(Table1[Rev],Table1[Date Signed],"&gt;=01-May-2024",Table1[Date Signed],"&lt;=31-May-2024",Table1[Status],"Won")</f>
        <v>0</v>
      </c>
    </row>
    <row r="10" spans="1:16" x14ac:dyDescent="0.3">
      <c r="A10" s="7" t="s">
        <v>68</v>
      </c>
      <c r="B10" s="12">
        <f>SUMIFS(Detail!$C$2:$C$269,Detail!$J$2:$J$269,A10,Detail!$L$2:$L$269,"Won")</f>
        <v>101118</v>
      </c>
      <c r="C10" s="12">
        <f>SUMIFS(Detail!$E$2:$E$269,Detail!$J$2:$J$269,A10,Detail!$L$2:$L$269,"Won")</f>
        <v>35405.68</v>
      </c>
      <c r="D10" s="33">
        <f t="shared" ref="D10:D17" si="0">C10/B10</f>
        <v>0.35014221009118063</v>
      </c>
      <c r="E10">
        <f>COUNTIFS(Table1[Practice Area],A10,Table1[Status],"Won")</f>
        <v>4</v>
      </c>
      <c r="F10" s="16">
        <f t="shared" ref="F10:F17" si="1">B10/$B$3</f>
        <v>4.0198148352069918E-2</v>
      </c>
      <c r="H10" s="7" t="s">
        <v>68</v>
      </c>
      <c r="I10" s="12">
        <f>SUMIFS(Detail!$C$2:$C$269,Detail!$J$2:$J$269,H10,Detail!$L$2:$L$269,"Out for Signature")</f>
        <v>81000</v>
      </c>
      <c r="J10" s="12">
        <f>SUMIFS(Detail!$E$2:$E$269,Detail!$J$2:$J$269,H10,Detail!$L$2:$L$269,"Out for Signature")</f>
        <v>30594.9</v>
      </c>
      <c r="K10" s="33">
        <f t="shared" ref="K10:K17" si="2">J10/I10</f>
        <v>0.37771481481481484</v>
      </c>
      <c r="L10" s="8">
        <f>COUNTIFS(Table1[Practice Area],H10,Table1[Status],"Out For Signature")</f>
        <v>2</v>
      </c>
      <c r="O10" s="7" t="s">
        <v>30</v>
      </c>
      <c r="P10" s="22">
        <f>SUMIFS(Table1[Rev],Table1[Date Signed],"&gt;=01-Jun-2024",Table1[Date Signed],"&lt;=30-Jun-2024",Table1[Status],"Won")</f>
        <v>0</v>
      </c>
    </row>
    <row r="11" spans="1:16" x14ac:dyDescent="0.3">
      <c r="A11" s="7" t="s">
        <v>34</v>
      </c>
      <c r="B11" s="12">
        <f>SUMIFS(Detail!$C$2:$C$269,Detail!$J$2:$J$269,A11,Detail!$L$2:$L$269,"Won")</f>
        <v>2260130</v>
      </c>
      <c r="C11" s="12">
        <f>SUMIFS(Detail!$E$2:$E$269,Detail!$J$2:$J$269,A11,Detail!$L$2:$L$269,"Won")</f>
        <v>642511.25</v>
      </c>
      <c r="D11" s="33">
        <f t="shared" ref="D11:D16" si="3">C11/B11</f>
        <v>0.28428066084694242</v>
      </c>
      <c r="E11">
        <f>COUNTIFS(Table1[Practice Area],A11,Table1[Status],"Won")</f>
        <v>4</v>
      </c>
      <c r="F11" s="16">
        <f t="shared" ref="F11:F16" si="4">B11/$B$3</f>
        <v>0.89848534420146542</v>
      </c>
      <c r="H11" s="7" t="s">
        <v>34</v>
      </c>
      <c r="I11" s="12">
        <f>SUMIFS(Detail!$C$2:$C$269,Detail!$J$2:$J$269,H11,Detail!$L$2:$L$269,"Out for Signature")</f>
        <v>0</v>
      </c>
      <c r="J11" s="12">
        <f>SUMIFS(Detail!$E$2:$E$269,Detail!$J$2:$J$269,H11,Detail!$L$2:$L$269,"Out for Signature")</f>
        <v>0</v>
      </c>
      <c r="K11" s="33" t="e">
        <f t="shared" si="2"/>
        <v>#DIV/0!</v>
      </c>
      <c r="L11" s="8">
        <f>COUNTIFS(Table1[Practice Area],H11,Table1[Status],"Out For Signature")</f>
        <v>0</v>
      </c>
      <c r="O11" s="7" t="s">
        <v>31</v>
      </c>
      <c r="P11" s="22">
        <f>SUMIFS(Table1[Rev],Table1[Date Signed],"&gt;=01-Jul-2024",Table1[Date Signed],"&lt;=29-Jul-2024",Table1[Status],"Won")</f>
        <v>0</v>
      </c>
    </row>
    <row r="12" spans="1:16" x14ac:dyDescent="0.3">
      <c r="A12" s="7" t="s">
        <v>78</v>
      </c>
      <c r="B12" s="12">
        <f>SUMIFS(Detail!$C$2:$C$269,Detail!$J$2:$J$269,A12,Detail!$L$2:$L$269,"Won")</f>
        <v>36680</v>
      </c>
      <c r="C12" s="12">
        <f>SUMIFS(Detail!$E$2:$E$269,Detail!$J$2:$J$269,A12,Detail!$L$2:$L$269,"Won")</f>
        <v>13348</v>
      </c>
      <c r="D12" s="33">
        <f t="shared" si="3"/>
        <v>0.36390403489640133</v>
      </c>
      <c r="E12">
        <f>COUNTIFS(Table1[Practice Area],A12,Table1[Status],"Won")</f>
        <v>2</v>
      </c>
      <c r="F12" s="16">
        <f t="shared" si="4"/>
        <v>1.458165788043597E-2</v>
      </c>
      <c r="H12" s="7" t="s">
        <v>78</v>
      </c>
      <c r="I12" s="12">
        <f>SUMIFS(Detail!$C$2:$C$269,Detail!$J$2:$J$269,H12,Detail!$L$2:$L$269,"Out for Signature")</f>
        <v>34000</v>
      </c>
      <c r="J12" s="12">
        <f>SUMIFS(Detail!$E$2:$E$269,Detail!$J$2:$J$269,H12,Detail!$L$2:$L$269,"Out for Signature")</f>
        <v>12920</v>
      </c>
      <c r="K12" s="33">
        <f t="shared" si="2"/>
        <v>0.38</v>
      </c>
      <c r="L12" s="8">
        <f>COUNTIFS(Table1[Practice Area],H12,Table1[Status],"Out For Signature")</f>
        <v>2</v>
      </c>
      <c r="O12" s="7" t="s">
        <v>32</v>
      </c>
      <c r="P12" s="22">
        <f>SUMIFS(Table1[Rev],Table1[Date Signed],"&gt;=01-Aug-2024",Table1[Date Signed],"&lt;=31-Aug-2024",Table1[Status],"Won")</f>
        <v>0</v>
      </c>
    </row>
    <row r="13" spans="1:16" x14ac:dyDescent="0.3">
      <c r="A13" s="7" t="s">
        <v>74</v>
      </c>
      <c r="B13" s="12">
        <f>SUMIFS(Detail!$C$2:$C$269,Detail!$J$2:$J$269,A13,Detail!$L$2:$L$269,"Won")</f>
        <v>0</v>
      </c>
      <c r="C13" s="12">
        <f>SUMIFS(Detail!$E$2:$E$269,Detail!$J$2:$J$269,A13,Detail!$L$2:$L$269,"Won")</f>
        <v>0</v>
      </c>
      <c r="D13" s="33" t="e">
        <f t="shared" si="3"/>
        <v>#DIV/0!</v>
      </c>
      <c r="E13">
        <f>COUNTIFS(Table1[Practice Area],A13,Table1[Status],"Won")</f>
        <v>0</v>
      </c>
      <c r="F13" s="16">
        <f t="shared" si="4"/>
        <v>0</v>
      </c>
      <c r="H13" s="7" t="s">
        <v>74</v>
      </c>
      <c r="I13" s="12">
        <f>SUMIFS(Detail!$C$2:$C$269,Detail!$J$2:$J$269,H13,Detail!$L$2:$L$269,"Out for Signature")</f>
        <v>0</v>
      </c>
      <c r="J13" s="12">
        <f>SUMIFS(Detail!$E$2:$E$269,Detail!$J$2:$J$269,H13,Detail!$L$2:$L$269,"Out for Signature")</f>
        <v>0</v>
      </c>
      <c r="K13" s="33" t="e">
        <f t="shared" si="2"/>
        <v>#DIV/0!</v>
      </c>
      <c r="L13" s="8">
        <f>COUNTIFS(Table1[Practice Area],H13,Table1[Status],"Out For Signature")</f>
        <v>0</v>
      </c>
      <c r="O13" s="7" t="s">
        <v>33</v>
      </c>
      <c r="P13" s="22">
        <f>SUMIFS(Table1[Rev],Table1[Date Signed],"&gt;=01-Sep-2024",Table1[Date Signed],"&lt;=30-Sep-2024",Table1[Status],"Won")</f>
        <v>0</v>
      </c>
    </row>
    <row r="14" spans="1:16" x14ac:dyDescent="0.3">
      <c r="A14" s="7" t="s">
        <v>80</v>
      </c>
      <c r="B14" s="12">
        <f>SUMIFS(Detail!$C$2:$C$270,Detail!$J$2:$J$270,A14,Detail!$L$2:$L$270,"Won")</f>
        <v>69769</v>
      </c>
      <c r="C14" s="12">
        <f>SUMIFS(Detail!$E$2:$E$269,Detail!$J$2:$J$269,A14,Detail!$L$2:$L$269,"Won")</f>
        <v>25116.839999999997</v>
      </c>
      <c r="D14" s="33">
        <f t="shared" si="3"/>
        <v>0.35999999999999993</v>
      </c>
      <c r="E14">
        <f>COUNTIFS(Table1[Practice Area],A14,Table1[Status],"Won")</f>
        <v>2</v>
      </c>
      <c r="F14" s="16">
        <f t="shared" si="4"/>
        <v>2.773576032334071E-2</v>
      </c>
      <c r="H14" s="7" t="s">
        <v>80</v>
      </c>
      <c r="I14" s="12">
        <f>SUMIFS(Detail!$C$2:$C$269,Detail!$J$2:$J$269,H14,Detail!$L$2:$L$269,"Out for Signature")</f>
        <v>0</v>
      </c>
      <c r="J14" s="12">
        <f>SUMIFS(Detail!$E$2:$E$269,Detail!$J$2:$J$269,H14,Detail!$L$2:$L$269,"Out for Signature")</f>
        <v>0</v>
      </c>
      <c r="K14" s="33" t="e">
        <f t="shared" si="2"/>
        <v>#DIV/0!</v>
      </c>
      <c r="L14" s="8">
        <f>COUNTIFS(Table1[Practice Area],H14,Table1[Status],"Out For Signature")</f>
        <v>0</v>
      </c>
      <c r="O14" s="7" t="s">
        <v>35</v>
      </c>
      <c r="P14" s="22">
        <f>SUMIFS(Table1[Rev],Table1[Date Signed],"&gt;=01-Oct-2024",Table1[Date Signed],"&lt;=31-Oct-2024",Table1[Status],"Won")</f>
        <v>0</v>
      </c>
    </row>
    <row r="15" spans="1:16" x14ac:dyDescent="0.3">
      <c r="A15" s="7" t="s">
        <v>83</v>
      </c>
      <c r="B15" s="12">
        <f>SUMIFS(Detail!$C$2:$C$270,Detail!$J$2:$J$270,A15,Detail!$L$2:$L$270,"Won")</f>
        <v>13096</v>
      </c>
      <c r="C15" s="12">
        <f>SUMIFS(Detail!$E$2:$E$269,Detail!$J$2:$J$269,A15,Detail!$L$2:$L$269,"Won")</f>
        <v>4976.4800000000005</v>
      </c>
      <c r="D15" s="33">
        <f t="shared" si="3"/>
        <v>0.38000000000000006</v>
      </c>
      <c r="E15">
        <f>COUNTIFS(Table1[Practice Area],A15,Table1[Status],"Won")</f>
        <v>1</v>
      </c>
      <c r="F15" s="16">
        <f t="shared" si="4"/>
        <v>5.2061448092199968E-3</v>
      </c>
      <c r="H15" s="7" t="s">
        <v>83</v>
      </c>
      <c r="I15" s="12">
        <f>SUMIFS(Detail!$C$2:$C$269,Detail!$J$2:$J$269,H15,Detail!$L$2:$L$269,"Out for Signature")</f>
        <v>0</v>
      </c>
      <c r="J15" s="12">
        <f>SUMIFS(Detail!$E$2:$E$269,Detail!$J$2:$J$269,H15,Detail!$L$2:$L$269,"Out for Signature")</f>
        <v>0</v>
      </c>
      <c r="K15" s="33" t="e">
        <f t="shared" si="2"/>
        <v>#DIV/0!</v>
      </c>
      <c r="L15" s="8">
        <f>COUNTIFS(Table1[Practice Area],H15,Table1[Status],"Out For Signature")</f>
        <v>0</v>
      </c>
      <c r="O15" s="7" t="s">
        <v>36</v>
      </c>
      <c r="P15" s="22">
        <f>SUMIFS(Table1[Rev],Table1[Date Signed],"&gt;=01-Nov-2024",Table1[Date Signed],"&lt;=30-Nov-2024",Table1[Status],"Won")</f>
        <v>0</v>
      </c>
    </row>
    <row r="16" spans="1:16" ht="15" thickBot="1" x14ac:dyDescent="0.35">
      <c r="A16" s="7" t="s">
        <v>107</v>
      </c>
      <c r="B16" s="12">
        <f>SUMIFS(Detail!$C$2:$C$270,Detail!$J$2:$J$270,A16,Detail!$L$2:$L$270,"Won")</f>
        <v>5500</v>
      </c>
      <c r="C16" s="12">
        <f>SUMIFS(Detail!$E$2:$E$269,Detail!$J$2:$J$269,A16,Detail!$L$2:$L$269,"Won")</f>
        <v>2035</v>
      </c>
      <c r="D16" s="33">
        <f t="shared" si="3"/>
        <v>0.37</v>
      </c>
      <c r="E16">
        <f>COUNTIFS(Table1[Practice Area],A16,Table1[Status],"Won")</f>
        <v>1</v>
      </c>
      <c r="F16" s="16">
        <f t="shared" si="4"/>
        <v>2.1864536080261135E-3</v>
      </c>
      <c r="H16" s="7" t="s">
        <v>107</v>
      </c>
      <c r="I16" s="12">
        <f>SUMIFS(Detail!$C$2:$C$269,Detail!$J$2:$J$269,H16,Detail!$L$2:$L$269,"Out For Signature")</f>
        <v>40475.800000000003</v>
      </c>
      <c r="J16" s="12">
        <f>SUMIFS(Detail!$E$2:$E$269,Detail!$J$2:$J$269,H16,Detail!$L$2:$L$269,"Out For Signature")</f>
        <v>11828.224000000002</v>
      </c>
      <c r="K16" s="33">
        <f t="shared" si="2"/>
        <v>0.29222952974369876</v>
      </c>
      <c r="L16" s="8">
        <f>COUNTIFS(Table1[Practice Area],H16,Table1[Status],"Out For Signature")</f>
        <v>2</v>
      </c>
      <c r="O16" s="13" t="s">
        <v>11</v>
      </c>
      <c r="P16" s="23">
        <f>SUMIFS(Table1[Rev],Table1[Date Signed],"&gt;=01-Dec-2024",Table1[Date Signed],"&lt;=31-Dec-2024",Table1[Status],"Won")</f>
        <v>0</v>
      </c>
    </row>
    <row r="17" spans="1:13" ht="15.6" thickTop="1" thickBot="1" x14ac:dyDescent="0.35">
      <c r="A17" s="13" t="s">
        <v>186</v>
      </c>
      <c r="B17" s="14">
        <f>SUMIFS(Detail!$C$2:$C$272,Detail!$J$2:$J$272,"Teams Rooms",Detail!$L$2:$L$272,"Won")</f>
        <v>0</v>
      </c>
      <c r="C17" s="14">
        <f>SUMIFS(Detail!$E$2:$E$269,Detail!$J$2:$J$269,"Teams Rooms",Detail!$L$2:$L$269,"Won")</f>
        <v>0</v>
      </c>
      <c r="D17" s="15" t="e">
        <f t="shared" si="0"/>
        <v>#DIV/0!</v>
      </c>
      <c r="E17" s="17">
        <f>COUNTIFS(Table1[Practice Area],"Teams Rooms",Table1[Status],"Won")</f>
        <v>0</v>
      </c>
      <c r="F17" s="18">
        <f t="shared" si="1"/>
        <v>0</v>
      </c>
      <c r="H17" s="13" t="s">
        <v>186</v>
      </c>
      <c r="I17" s="14">
        <f>SUMIFS(Detail!$C$2:$C$269,Detail!$J$2:$J$269,H17,Detail!$L$2:$L$269,"Out For Signature")</f>
        <v>0</v>
      </c>
      <c r="J17" s="14">
        <f>SUMIFS(Detail!$E$2:$E$269,Detail!$J$2:$J$269,H17,Detail!$L$2:$L$269,"Out For Signature")</f>
        <v>0</v>
      </c>
      <c r="K17" s="15" t="e">
        <f t="shared" si="2"/>
        <v>#DIV/0!</v>
      </c>
      <c r="L17" s="18"/>
    </row>
    <row r="18" spans="1:13" ht="15" thickTop="1" x14ac:dyDescent="0.3"/>
    <row r="19" spans="1:13" ht="15" thickBot="1" x14ac:dyDescent="0.35"/>
    <row r="20" spans="1:13" ht="21.6" thickTop="1" x14ac:dyDescent="0.4">
      <c r="A20" s="40" t="s">
        <v>37</v>
      </c>
      <c r="B20" s="41"/>
      <c r="C20" s="41"/>
      <c r="D20" s="41"/>
      <c r="E20" s="41"/>
      <c r="F20" s="41"/>
      <c r="G20" s="42"/>
      <c r="I20" s="40" t="s">
        <v>38</v>
      </c>
      <c r="J20" s="41"/>
      <c r="K20" s="41"/>
      <c r="L20" s="41"/>
      <c r="M20" s="42"/>
    </row>
    <row r="21" spans="1:13" x14ac:dyDescent="0.3">
      <c r="A21" s="7"/>
      <c r="B21" s="4" t="s">
        <v>39</v>
      </c>
      <c r="C21" s="4" t="s">
        <v>40</v>
      </c>
      <c r="D21" s="4" t="s">
        <v>41</v>
      </c>
      <c r="E21" s="4" t="s">
        <v>42</v>
      </c>
      <c r="F21" s="4" t="s">
        <v>43</v>
      </c>
      <c r="G21" s="21" t="s">
        <v>44</v>
      </c>
      <c r="I21" s="7"/>
      <c r="J21" t="s">
        <v>45</v>
      </c>
      <c r="K21" t="s">
        <v>46</v>
      </c>
      <c r="L21" s="4" t="s">
        <v>47</v>
      </c>
      <c r="M21" s="21" t="s">
        <v>23</v>
      </c>
    </row>
    <row r="22" spans="1:13" x14ac:dyDescent="0.3">
      <c r="A22" s="7" t="s">
        <v>66</v>
      </c>
      <c r="B22" s="4">
        <f>COUNTIFS(Table1[Presales],A22,Table1[Status],"Won")</f>
        <v>1</v>
      </c>
      <c r="C22" s="12">
        <f>SUMIFS(Detail!$C$2:$C$269,Detail!$K$2:$K$269,A22,Detail!$L$2:$L$269,"Won")</f>
        <v>5500</v>
      </c>
      <c r="D22" s="12">
        <f>SUMIFS(Detail!$E$2:$E$269,Detail!$K$2:$K$269,A22,Detail!$L$2:$L$269,"Won")</f>
        <v>1650</v>
      </c>
      <c r="E22" s="25">
        <f>D22/C22</f>
        <v>0.3</v>
      </c>
      <c r="F22" s="4">
        <f>COUNTIF(Table1[Presales],A22)</f>
        <v>6</v>
      </c>
      <c r="G22" s="28">
        <f>B22/F22</f>
        <v>0.16666666666666666</v>
      </c>
      <c r="I22" s="7" t="s">
        <v>48</v>
      </c>
      <c r="J22">
        <f>COUNTIF(Table1[Rev],"&lt;9999")</f>
        <v>5</v>
      </c>
      <c r="K22">
        <f>COUNTIFS(Table1[Rev],"&lt;9999",Table1[Status],"Won")</f>
        <v>4</v>
      </c>
      <c r="L22" s="12">
        <f>SUMIFS(Table1[Rev],Table1[Rev],"&lt;9999",Table1[Status],"Won")</f>
        <v>21000</v>
      </c>
      <c r="M22" s="19">
        <f>SUMIFS(Table1[GP $],Table1[Rev],"&lt;9999",Table1[Status],"Won")</f>
        <v>6685</v>
      </c>
    </row>
    <row r="23" spans="1:13" x14ac:dyDescent="0.3">
      <c r="A23" s="7" t="s">
        <v>67</v>
      </c>
      <c r="B23" s="4">
        <f>COUNTIFS(Table1[Presales],A23,Table1[Status],"Won")</f>
        <v>15</v>
      </c>
      <c r="C23" s="12">
        <f>SUMIFS(Detail!$C$2:$C$269,Detail!$K$2:$K$269,A23,Detail!$L$2:$L$269,"Won")</f>
        <v>2509989</v>
      </c>
      <c r="D23" s="12">
        <f>SUMIFS(Detail!$E$2:$E$269,Detail!$K$2:$K$269,A23,Detail!$L$2:$L$269,"Won")</f>
        <v>732160.77</v>
      </c>
      <c r="E23" s="25">
        <f>D23/C23</f>
        <v>0.29169879628954548</v>
      </c>
      <c r="F23" s="4">
        <f>COUNTIF(Table1[Presales],A23)</f>
        <v>33</v>
      </c>
      <c r="G23" s="28">
        <f>B23/F23</f>
        <v>0.45454545454545453</v>
      </c>
      <c r="I23" s="7" t="s">
        <v>49</v>
      </c>
      <c r="J23">
        <f>COUNTIFS(Table1[Rev],"&gt;9999",Table1[Rev],"&lt;25000")</f>
        <v>7</v>
      </c>
      <c r="K23">
        <f>COUNTIFS(Table1[Rev],"&gt;9999",Table1[Rev],"&lt;24999",Table1[Status],"Won")</f>
        <v>4</v>
      </c>
      <c r="L23" s="12">
        <f>SUMIFS(Table1[Rev],Table1[Rev],"&gt;9999",Table1[Rev],"&lt;24999",Table1[Status],"Won")</f>
        <v>73472</v>
      </c>
      <c r="M23" s="19">
        <f>SUMIFS(Table1[GP $],Table1[Rev],"&gt;9999",Table1[Rev],"&lt;24999",Table1[Status],"Won")</f>
        <v>27092</v>
      </c>
    </row>
    <row r="24" spans="1:13" x14ac:dyDescent="0.3">
      <c r="A24" s="7" t="s">
        <v>75</v>
      </c>
      <c r="B24" s="4">
        <f>COUNTIFS(Table1[Presales],A24,Table1[Status],"Won")</f>
        <v>0</v>
      </c>
      <c r="C24" s="12">
        <f>SUMIFS(Detail!$C$2:$C$269,Detail!$K$2:$K$269,A24,Detail!$L$2:$L$269,"Won")</f>
        <v>0</v>
      </c>
      <c r="D24" s="12">
        <f>SUMIFS(Detail!$E$2:$E$269,Detail!$K$2:$K$269,A24,Detail!$L$2:$L$269,"Won")</f>
        <v>0</v>
      </c>
      <c r="E24" s="25" t="e">
        <f>D24/C24</f>
        <v>#DIV/0!</v>
      </c>
      <c r="F24" s="4">
        <f>COUNTIF(Table1[Presales],A24)</f>
        <v>0</v>
      </c>
      <c r="G24" s="28" t="e">
        <f>B24/F24</f>
        <v>#DIV/0!</v>
      </c>
      <c r="I24" s="7" t="s">
        <v>50</v>
      </c>
      <c r="J24">
        <f>COUNTIFS(Table1[Rev],"&gt;25000",Table1[Rev],"&lt;100000")</f>
        <v>6</v>
      </c>
      <c r="K24">
        <f>COUNTIFS(Table1[Rev],"&gt;24999",Table1[Rev],"&lt;99999",Table1[Status],"Won")</f>
        <v>4</v>
      </c>
      <c r="L24" s="12">
        <f>SUMIFS(Table1[Rev],Table1[Rev],"&gt;25000",Table1[Rev],"&lt;99999",Table1[Status],"Won")</f>
        <v>160887</v>
      </c>
      <c r="M24" s="19">
        <f>SUMIFS(Table1[GP $],Table1[Rev],"&gt;25000",Table1[Rev],"&lt;99999",Table1[Status],"Won")</f>
        <v>57522.52</v>
      </c>
    </row>
    <row r="25" spans="1:13" ht="15" thickBot="1" x14ac:dyDescent="0.35">
      <c r="A25" s="13"/>
      <c r="B25" s="24"/>
      <c r="C25" s="14"/>
      <c r="D25" s="14"/>
      <c r="E25" s="26"/>
      <c r="F25" s="24"/>
      <c r="G25" s="27"/>
      <c r="I25" s="13" t="s">
        <v>51</v>
      </c>
      <c r="J25" s="17">
        <f>COUNTIF(Table1[Rev],"&gt;99999")</f>
        <v>6</v>
      </c>
      <c r="K25" s="17">
        <f>COUNTIFS(Table1[Rev],"&gt;99999",Table1[Status],"Won")</f>
        <v>4</v>
      </c>
      <c r="L25" s="14">
        <f>SUMIFS(Table1[Rev],Table1[Rev],"&gt;99999",Table1[Status],"Won")</f>
        <v>2260130</v>
      </c>
      <c r="M25" s="20">
        <f>SUMIFS(Table1[GP $],Table1[Rev],"&gt;99999",Table1[Status],"Won")</f>
        <v>642511.25</v>
      </c>
    </row>
    <row r="26" spans="1:13" ht="15" thickTop="1" x14ac:dyDescent="0.3"/>
  </sheetData>
  <mergeCells count="5">
    <mergeCell ref="H2:L2"/>
    <mergeCell ref="A20:G20"/>
    <mergeCell ref="A2:F2"/>
    <mergeCell ref="I20:M20"/>
    <mergeCell ref="O3:P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8B02-B1E0-4BD0-AF88-A46FA2EAF06D}">
  <dimension ref="A1:R187"/>
  <sheetViews>
    <sheetView tabSelected="1" workbookViewId="0">
      <pane xSplit="7" topLeftCell="H1" activePane="topRight" state="frozen"/>
      <selection pane="topRight" activeCell="H53" sqref="H53"/>
    </sheetView>
  </sheetViews>
  <sheetFormatPr defaultRowHeight="14.4" x14ac:dyDescent="0.3"/>
  <cols>
    <col min="1" max="1" width="14.6640625" customWidth="1"/>
    <col min="2" max="2" width="12.44140625" style="4" hidden="1" customWidth="1"/>
    <col min="3" max="3" width="16.109375" customWidth="1"/>
    <col min="4" max="4" width="13.88671875" customWidth="1"/>
    <col min="5" max="5" width="13.33203125" customWidth="1"/>
    <col min="6" max="6" width="13.5546875" style="3" customWidth="1"/>
    <col min="7" max="7" width="36.5546875" customWidth="1"/>
    <col min="8" max="8" width="40.6640625" customWidth="1"/>
    <col min="9" max="9" width="24.33203125" customWidth="1"/>
    <col min="10" max="10" width="25" customWidth="1"/>
    <col min="11" max="11" width="14.44140625" customWidth="1"/>
    <col min="12" max="12" width="17.6640625" customWidth="1"/>
    <col min="13" max="13" width="15.6640625" customWidth="1"/>
    <col min="14" max="14" width="18.109375" customWidth="1"/>
    <col min="15" max="15" width="20" customWidth="1"/>
    <col min="16" max="16" width="13.5546875" customWidth="1"/>
    <col min="17" max="17" width="14.88671875" customWidth="1"/>
    <col min="18" max="18" width="33.21875" style="38" customWidth="1"/>
  </cols>
  <sheetData>
    <row r="1" spans="1:18" x14ac:dyDescent="0.3">
      <c r="A1" t="s">
        <v>52</v>
      </c>
      <c r="B1" s="4" t="s">
        <v>53</v>
      </c>
      <c r="C1" t="s">
        <v>6</v>
      </c>
      <c r="D1" t="s">
        <v>24</v>
      </c>
      <c r="E1" t="s">
        <v>54</v>
      </c>
      <c r="F1" s="3" t="s">
        <v>55</v>
      </c>
      <c r="G1" t="s">
        <v>56</v>
      </c>
      <c r="H1" t="s">
        <v>57</v>
      </c>
      <c r="I1" t="s">
        <v>58</v>
      </c>
      <c r="J1" t="s">
        <v>22</v>
      </c>
      <c r="K1" t="s">
        <v>37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s="38" t="s">
        <v>120</v>
      </c>
    </row>
    <row r="2" spans="1:18" s="35" customFormat="1" hidden="1" x14ac:dyDescent="0.3">
      <c r="A2" s="36">
        <v>45952</v>
      </c>
      <c r="B2" s="5">
        <v>62</v>
      </c>
      <c r="C2" s="1">
        <v>17000</v>
      </c>
      <c r="D2" s="2">
        <v>0.38</v>
      </c>
      <c r="E2" s="1">
        <f>Table1[[#This Row],[Rev]]*Table1[[#This Row],[GP %]]</f>
        <v>6460</v>
      </c>
      <c r="F2" s="3">
        <v>5010000962</v>
      </c>
      <c r="G2" t="s">
        <v>77</v>
      </c>
      <c r="H2" t="s">
        <v>78</v>
      </c>
      <c r="I2" t="s">
        <v>81</v>
      </c>
      <c r="J2" t="s">
        <v>78</v>
      </c>
      <c r="K2" t="s">
        <v>67</v>
      </c>
      <c r="L2" t="s">
        <v>169</v>
      </c>
      <c r="M2" s="36">
        <v>45939</v>
      </c>
      <c r="N2">
        <f>Table1[[#This Row],[Date Signed]]-Table1[[#This Row],[Tech Approval]]</f>
        <v>13</v>
      </c>
      <c r="O2" s="4" t="s">
        <v>69</v>
      </c>
      <c r="P2" s="1"/>
      <c r="Q2" s="1"/>
      <c r="R2" s="39"/>
    </row>
    <row r="3" spans="1:18" ht="28.8" hidden="1" x14ac:dyDescent="0.3">
      <c r="A3" s="36"/>
      <c r="B3" s="5">
        <v>120</v>
      </c>
      <c r="C3" s="1">
        <v>29668</v>
      </c>
      <c r="D3" s="2">
        <v>0.36</v>
      </c>
      <c r="E3" s="1">
        <f>Table1[[#This Row],[Rev]]*Table1[[#This Row],[GP %]]</f>
        <v>10680.48</v>
      </c>
      <c r="F3" s="3">
        <v>5010001071</v>
      </c>
      <c r="G3" t="s">
        <v>79</v>
      </c>
      <c r="H3" t="s">
        <v>80</v>
      </c>
      <c r="I3" t="s">
        <v>96</v>
      </c>
      <c r="J3" t="s">
        <v>80</v>
      </c>
      <c r="K3" t="s">
        <v>67</v>
      </c>
      <c r="L3" t="s">
        <v>169</v>
      </c>
      <c r="M3" s="36">
        <v>45945</v>
      </c>
      <c r="N3">
        <f>Table1[[#This Row],[Date Signed]]-Table1[[#This Row],[Tech Approval]]</f>
        <v>-45945</v>
      </c>
      <c r="O3" s="4" t="s">
        <v>92</v>
      </c>
      <c r="P3" s="1"/>
      <c r="Q3" s="1"/>
      <c r="R3" s="38" t="s">
        <v>129</v>
      </c>
    </row>
    <row r="4" spans="1:18" hidden="1" x14ac:dyDescent="0.3">
      <c r="A4" s="36">
        <v>46317</v>
      </c>
      <c r="B4" s="5">
        <v>45</v>
      </c>
      <c r="C4" s="1">
        <v>13096</v>
      </c>
      <c r="D4" s="2">
        <v>0.38</v>
      </c>
      <c r="E4" s="1">
        <f>Table1[[#This Row],[Rev]]*Table1[[#This Row],[GP %]]</f>
        <v>4976.4800000000005</v>
      </c>
      <c r="F4">
        <v>4010102646</v>
      </c>
      <c r="G4" t="s">
        <v>73</v>
      </c>
      <c r="H4" t="s">
        <v>82</v>
      </c>
      <c r="I4" t="s">
        <v>110</v>
      </c>
      <c r="J4" t="s">
        <v>83</v>
      </c>
      <c r="K4" t="s">
        <v>67</v>
      </c>
      <c r="L4" t="s">
        <v>169</v>
      </c>
      <c r="M4" s="36">
        <v>45945</v>
      </c>
      <c r="N4">
        <f>Table1[[#This Row],[Date Signed]]-Table1[[#This Row],[Tech Approval]]</f>
        <v>372</v>
      </c>
      <c r="O4" s="4" t="s">
        <v>91</v>
      </c>
      <c r="P4" s="1"/>
      <c r="Q4" s="1"/>
    </row>
    <row r="5" spans="1:18" x14ac:dyDescent="0.3">
      <c r="A5" s="36"/>
      <c r="B5" s="5"/>
      <c r="C5" s="1">
        <v>62490</v>
      </c>
      <c r="D5" s="2">
        <v>0.38</v>
      </c>
      <c r="E5" s="1">
        <f>Table1[[#This Row],[Rev]]*Table1[[#This Row],[GP %]]</f>
        <v>23746.2</v>
      </c>
      <c r="F5" s="3">
        <v>5010000600</v>
      </c>
      <c r="G5" t="s">
        <v>87</v>
      </c>
      <c r="H5" t="s">
        <v>88</v>
      </c>
      <c r="I5" t="s">
        <v>89</v>
      </c>
      <c r="J5" t="s">
        <v>68</v>
      </c>
      <c r="K5" t="s">
        <v>66</v>
      </c>
      <c r="L5" t="s">
        <v>70</v>
      </c>
      <c r="M5" s="36">
        <v>45915</v>
      </c>
      <c r="N5">
        <f>Table1[[#This Row],[Date Signed]]-Table1[[#This Row],[Tech Approval]]</f>
        <v>-45915</v>
      </c>
      <c r="O5" s="4" t="s">
        <v>90</v>
      </c>
      <c r="P5" s="1"/>
      <c r="Q5" s="1"/>
    </row>
    <row r="6" spans="1:18" hidden="1" x14ac:dyDescent="0.3">
      <c r="A6" s="36">
        <v>46352</v>
      </c>
      <c r="B6" s="5"/>
      <c r="C6" s="1">
        <v>23696</v>
      </c>
      <c r="D6" s="2">
        <v>0.37</v>
      </c>
      <c r="E6" s="1">
        <f>Table1[[#This Row],[Rev]]*Table1[[#This Row],[GP %]]</f>
        <v>8767.52</v>
      </c>
      <c r="F6" s="3">
        <v>4010103179</v>
      </c>
      <c r="G6" s="3" t="s">
        <v>84</v>
      </c>
      <c r="H6" t="s">
        <v>93</v>
      </c>
      <c r="I6" t="s">
        <v>94</v>
      </c>
      <c r="J6" t="s">
        <v>95</v>
      </c>
      <c r="K6" t="s">
        <v>67</v>
      </c>
      <c r="L6" t="s">
        <v>169</v>
      </c>
      <c r="M6" s="36">
        <v>45924</v>
      </c>
      <c r="N6">
        <f>Table1[[#This Row],[Date Signed]]-Table1[[#This Row],[Tech Approval]]</f>
        <v>428</v>
      </c>
      <c r="O6" s="4" t="s">
        <v>116</v>
      </c>
      <c r="P6" s="1"/>
      <c r="Q6" s="1"/>
    </row>
    <row r="7" spans="1:18" hidden="1" x14ac:dyDescent="0.3">
      <c r="B7" s="5"/>
      <c r="C7" s="1">
        <v>40101</v>
      </c>
      <c r="D7" s="2">
        <v>0.36</v>
      </c>
      <c r="E7" s="1">
        <f>Table1[[#This Row],[Rev]]*Table1[[#This Row],[GP %]]</f>
        <v>14436.359999999999</v>
      </c>
      <c r="F7" s="3">
        <v>5010000673</v>
      </c>
      <c r="G7" s="3" t="s">
        <v>85</v>
      </c>
      <c r="H7" t="s">
        <v>71</v>
      </c>
      <c r="I7" t="s">
        <v>96</v>
      </c>
      <c r="J7" t="s">
        <v>80</v>
      </c>
      <c r="K7" t="s">
        <v>67</v>
      </c>
      <c r="L7" t="s">
        <v>169</v>
      </c>
      <c r="M7" s="36">
        <v>45965</v>
      </c>
      <c r="N7">
        <f>Table1[[#This Row],[Date Signed]]-Table1[[#This Row],[Tech Approval]]</f>
        <v>-45965</v>
      </c>
      <c r="O7" s="4" t="s">
        <v>72</v>
      </c>
      <c r="P7" s="1"/>
      <c r="Q7" s="1"/>
    </row>
    <row r="8" spans="1:18" hidden="1" x14ac:dyDescent="0.3">
      <c r="A8" s="36">
        <v>46290</v>
      </c>
      <c r="B8" s="5"/>
      <c r="C8" s="1">
        <v>51438</v>
      </c>
      <c r="D8" s="2">
        <v>0.36</v>
      </c>
      <c r="E8" s="1">
        <f>Table1[[#This Row],[Rev]]*Table1[[#This Row],[GP %]]</f>
        <v>18517.68</v>
      </c>
      <c r="F8" s="3">
        <v>4010102985</v>
      </c>
      <c r="G8" t="s">
        <v>86</v>
      </c>
      <c r="H8" t="s">
        <v>114</v>
      </c>
      <c r="I8" t="s">
        <v>115</v>
      </c>
      <c r="J8" t="s">
        <v>68</v>
      </c>
      <c r="K8" t="s">
        <v>67</v>
      </c>
      <c r="L8" t="s">
        <v>169</v>
      </c>
      <c r="M8" s="36">
        <v>46288</v>
      </c>
      <c r="N8">
        <f>Table1[[#This Row],[Date Signed]]-Table1[[#This Row],[Tech Approval]]</f>
        <v>2</v>
      </c>
      <c r="O8" s="4" t="s">
        <v>103</v>
      </c>
      <c r="P8" s="1"/>
      <c r="Q8" s="1"/>
    </row>
    <row r="9" spans="1:18" hidden="1" x14ac:dyDescent="0.3">
      <c r="A9" s="36">
        <v>45917</v>
      </c>
      <c r="B9" s="5"/>
      <c r="C9" s="1">
        <v>154529</v>
      </c>
      <c r="D9" s="2">
        <v>0.37</v>
      </c>
      <c r="E9" s="1">
        <f>Table1[[#This Row],[Rev]]*Table1[[#This Row],[GP %]]</f>
        <v>57175.729999999996</v>
      </c>
      <c r="F9">
        <v>5010000241</v>
      </c>
      <c r="G9" t="s">
        <v>97</v>
      </c>
      <c r="H9" t="s">
        <v>101</v>
      </c>
      <c r="I9" t="s">
        <v>98</v>
      </c>
      <c r="J9" t="s">
        <v>34</v>
      </c>
      <c r="K9" t="s">
        <v>67</v>
      </c>
      <c r="L9" t="s">
        <v>169</v>
      </c>
      <c r="M9" s="36">
        <v>45911</v>
      </c>
      <c r="N9">
        <f>Table1[[#This Row],[Date Signed]]-Table1[[#This Row],[Tech Approval]]</f>
        <v>6</v>
      </c>
      <c r="O9" s="4" t="s">
        <v>99</v>
      </c>
      <c r="P9" s="1"/>
      <c r="Q9" s="1"/>
    </row>
    <row r="10" spans="1:18" hidden="1" x14ac:dyDescent="0.3">
      <c r="A10" s="36">
        <v>45894</v>
      </c>
      <c r="B10" s="5"/>
      <c r="C10" s="1">
        <v>106465</v>
      </c>
      <c r="D10" s="2">
        <v>0.32</v>
      </c>
      <c r="E10" s="1">
        <f>Table1[[#This Row],[Rev]]*Table1[[#This Row],[GP %]]</f>
        <v>34068.800000000003</v>
      </c>
      <c r="F10">
        <v>4010098895</v>
      </c>
      <c r="G10" t="s">
        <v>100</v>
      </c>
      <c r="H10" t="s">
        <v>101</v>
      </c>
      <c r="I10" t="s">
        <v>102</v>
      </c>
      <c r="J10" t="s">
        <v>34</v>
      </c>
      <c r="K10" t="s">
        <v>67</v>
      </c>
      <c r="L10" t="s">
        <v>169</v>
      </c>
      <c r="M10" s="36">
        <v>45863</v>
      </c>
      <c r="N10">
        <f>Table1[[#This Row],[Date Signed]]-Table1[[#This Row],[Tech Approval]]</f>
        <v>31</v>
      </c>
      <c r="O10" s="4" t="s">
        <v>103</v>
      </c>
      <c r="P10" s="1"/>
      <c r="Q10" s="1"/>
    </row>
    <row r="11" spans="1:18" hidden="1" x14ac:dyDescent="0.3">
      <c r="A11" s="36"/>
      <c r="B11" s="5"/>
      <c r="C11" s="1">
        <v>39680</v>
      </c>
      <c r="D11" s="2">
        <v>0.35</v>
      </c>
      <c r="E11" s="1">
        <f>Table1[[#This Row],[Rev]]*Table1[[#This Row],[GP %]]</f>
        <v>13888</v>
      </c>
      <c r="F11" s="37">
        <v>5010003238</v>
      </c>
      <c r="G11" t="s">
        <v>104</v>
      </c>
      <c r="H11" t="s">
        <v>118</v>
      </c>
      <c r="I11" t="s">
        <v>119</v>
      </c>
      <c r="J11" t="s">
        <v>68</v>
      </c>
      <c r="K11" t="s">
        <v>67</v>
      </c>
      <c r="L11" t="s">
        <v>169</v>
      </c>
      <c r="M11" s="36"/>
      <c r="N11">
        <f>Table1[[#This Row],[Date Signed]]-Table1[[#This Row],[Tech Approval]]</f>
        <v>0</v>
      </c>
      <c r="O11" s="4"/>
      <c r="P11" s="1"/>
      <c r="Q11" s="1"/>
    </row>
    <row r="12" spans="1:18" hidden="1" x14ac:dyDescent="0.3">
      <c r="A12" s="36">
        <v>46366</v>
      </c>
      <c r="B12" s="5"/>
      <c r="C12" s="1">
        <v>5000</v>
      </c>
      <c r="D12" s="2">
        <v>0.3</v>
      </c>
      <c r="E12" s="1">
        <f>Table1[[#This Row],[Rev]]*Table1[[#This Row],[GP %]]</f>
        <v>1500</v>
      </c>
      <c r="G12" t="s">
        <v>105</v>
      </c>
      <c r="H12" t="s">
        <v>107</v>
      </c>
      <c r="I12" t="s">
        <v>108</v>
      </c>
      <c r="J12" t="s">
        <v>68</v>
      </c>
      <c r="K12" t="s">
        <v>67</v>
      </c>
      <c r="L12" t="s">
        <v>169</v>
      </c>
      <c r="M12" s="36"/>
      <c r="N12">
        <f>Table1[[#This Row],[Date Signed]]-Table1[[#This Row],[Tech Approval]]</f>
        <v>46366</v>
      </c>
      <c r="O12" s="4"/>
      <c r="P12" s="1"/>
      <c r="Q12" s="1"/>
    </row>
    <row r="13" spans="1:18" hidden="1" x14ac:dyDescent="0.3">
      <c r="A13" s="36">
        <v>46361</v>
      </c>
      <c r="B13" s="5"/>
      <c r="C13" s="1">
        <v>5000</v>
      </c>
      <c r="D13" s="2">
        <v>0.3</v>
      </c>
      <c r="E13" s="1">
        <f>Table1[[#This Row],[Rev]]*Table1[[#This Row],[GP %]]</f>
        <v>1500</v>
      </c>
      <c r="F13"/>
      <c r="G13" t="s">
        <v>106</v>
      </c>
      <c r="H13" t="s">
        <v>107</v>
      </c>
      <c r="I13" t="s">
        <v>108</v>
      </c>
      <c r="J13" t="s">
        <v>68</v>
      </c>
      <c r="K13" t="s">
        <v>67</v>
      </c>
      <c r="L13" t="s">
        <v>169</v>
      </c>
      <c r="M13" s="36"/>
      <c r="N13">
        <f>Table1[[#This Row],[Date Signed]]-Table1[[#This Row],[Tech Approval]]</f>
        <v>46361</v>
      </c>
      <c r="O13" s="4"/>
      <c r="P13" s="1"/>
      <c r="Q13" s="1"/>
    </row>
    <row r="14" spans="1:18" x14ac:dyDescent="0.3">
      <c r="A14" s="36"/>
      <c r="B14" s="5">
        <v>62</v>
      </c>
      <c r="C14" s="1">
        <v>17000</v>
      </c>
      <c r="D14" s="2">
        <v>0.38</v>
      </c>
      <c r="E14" s="1">
        <f>Table1[[#This Row],[Rev]]*Table1[[#This Row],[GP %]]</f>
        <v>6460</v>
      </c>
      <c r="F14" s="3">
        <v>5010004102</v>
      </c>
      <c r="G14" t="s">
        <v>109</v>
      </c>
      <c r="H14" t="s">
        <v>78</v>
      </c>
      <c r="I14" t="s">
        <v>110</v>
      </c>
      <c r="J14" t="s">
        <v>78</v>
      </c>
      <c r="K14" t="s">
        <v>67</v>
      </c>
      <c r="L14" t="s">
        <v>70</v>
      </c>
      <c r="M14" s="36">
        <v>46013</v>
      </c>
      <c r="N14">
        <f>Table1[[#This Row],[Date Signed]]-Table1[[#This Row],[Tech Approval]]</f>
        <v>-46013</v>
      </c>
      <c r="O14" s="4" t="s">
        <v>175</v>
      </c>
      <c r="P14" s="1"/>
      <c r="Q14" s="1"/>
      <c r="R14" s="38" t="s">
        <v>191</v>
      </c>
    </row>
    <row r="15" spans="1:18" hidden="1" x14ac:dyDescent="0.3">
      <c r="A15" s="36">
        <v>46036</v>
      </c>
      <c r="B15" s="5"/>
      <c r="C15" s="1">
        <v>115000</v>
      </c>
      <c r="D15" s="2">
        <v>0.37</v>
      </c>
      <c r="E15" s="1">
        <f>Table1[[#This Row],[Rev]]*Table1[[#This Row],[GP %]]</f>
        <v>42550</v>
      </c>
      <c r="F15" s="37">
        <v>5010003533</v>
      </c>
      <c r="G15" t="s">
        <v>111</v>
      </c>
      <c r="H15" t="s">
        <v>122</v>
      </c>
      <c r="I15" t="s">
        <v>72</v>
      </c>
      <c r="J15" t="s">
        <v>34</v>
      </c>
      <c r="K15" t="s">
        <v>67</v>
      </c>
      <c r="L15" t="s">
        <v>169</v>
      </c>
      <c r="M15" s="36">
        <v>46374</v>
      </c>
      <c r="O15" s="4" t="s">
        <v>175</v>
      </c>
      <c r="P15" s="1"/>
      <c r="Q15" s="1"/>
      <c r="R15" s="38" t="s">
        <v>132</v>
      </c>
    </row>
    <row r="16" spans="1:18" hidden="1" x14ac:dyDescent="0.3">
      <c r="A16" s="36">
        <v>46339</v>
      </c>
      <c r="B16" s="5"/>
      <c r="C16" s="1">
        <v>19680</v>
      </c>
      <c r="D16" s="2">
        <v>0.35</v>
      </c>
      <c r="E16" s="1">
        <f>Table1[[#This Row],[Rev]]*Table1[[#This Row],[GP %]]</f>
        <v>6888</v>
      </c>
      <c r="F16" s="37">
        <v>5010000594</v>
      </c>
      <c r="G16" s="3" t="s">
        <v>112</v>
      </c>
      <c r="H16" t="s">
        <v>163</v>
      </c>
      <c r="I16" t="s">
        <v>115</v>
      </c>
      <c r="J16" t="s">
        <v>78</v>
      </c>
      <c r="K16" t="s">
        <v>67</v>
      </c>
      <c r="L16" t="s">
        <v>169</v>
      </c>
      <c r="M16" s="36">
        <v>46290</v>
      </c>
      <c r="O16" s="4"/>
      <c r="P16" s="1"/>
      <c r="Q16" s="1"/>
    </row>
    <row r="17" spans="1:18" hidden="1" x14ac:dyDescent="0.3">
      <c r="A17" s="36">
        <v>46039</v>
      </c>
      <c r="B17" s="5"/>
      <c r="C17" s="1">
        <v>5500</v>
      </c>
      <c r="D17" s="2">
        <v>0.37</v>
      </c>
      <c r="E17" s="1">
        <f>Table1[[#This Row],[Rev]]*Table1[[#This Row],[GP %]]</f>
        <v>2035</v>
      </c>
      <c r="F17">
        <v>5010003897</v>
      </c>
      <c r="G17" t="s">
        <v>113</v>
      </c>
      <c r="H17" t="s">
        <v>107</v>
      </c>
      <c r="I17" t="s">
        <v>192</v>
      </c>
      <c r="J17" t="s">
        <v>107</v>
      </c>
      <c r="K17" t="s">
        <v>67</v>
      </c>
      <c r="L17" t="s">
        <v>169</v>
      </c>
      <c r="M17" s="36">
        <v>46034</v>
      </c>
      <c r="O17" s="4" t="s">
        <v>193</v>
      </c>
      <c r="P17" s="1"/>
      <c r="Q17" s="1"/>
    </row>
    <row r="18" spans="1:18" hidden="1" x14ac:dyDescent="0.3">
      <c r="A18" s="36">
        <v>46044</v>
      </c>
      <c r="B18" s="5"/>
      <c r="C18" s="1">
        <v>1884136</v>
      </c>
      <c r="D18" s="2">
        <v>0.27</v>
      </c>
      <c r="E18" s="1">
        <f>Table1[[#This Row],[Rev]]*Table1[[#This Row],[GP %]]</f>
        <v>508716.72000000003</v>
      </c>
      <c r="F18" s="3">
        <v>5010003160</v>
      </c>
      <c r="G18" t="s">
        <v>117</v>
      </c>
      <c r="H18" t="s">
        <v>187</v>
      </c>
      <c r="I18" t="s">
        <v>188</v>
      </c>
      <c r="J18" t="s">
        <v>34</v>
      </c>
      <c r="K18" t="s">
        <v>67</v>
      </c>
      <c r="L18" t="s">
        <v>169</v>
      </c>
      <c r="M18" s="36">
        <v>46043</v>
      </c>
      <c r="O18" s="4" t="s">
        <v>190</v>
      </c>
      <c r="P18" s="1"/>
      <c r="Q18" s="1"/>
    </row>
    <row r="19" spans="1:18" x14ac:dyDescent="0.3">
      <c r="A19" s="36"/>
      <c r="B19" s="5"/>
      <c r="C19" s="1">
        <v>17000</v>
      </c>
      <c r="D19" s="2">
        <v>0.38</v>
      </c>
      <c r="E19" s="1">
        <f>Table1[[#This Row],[Rev]]*Table1[[#This Row],[GP %]]</f>
        <v>6460</v>
      </c>
      <c r="F19">
        <v>5010004572</v>
      </c>
      <c r="G19" t="s">
        <v>174</v>
      </c>
      <c r="H19" t="s">
        <v>78</v>
      </c>
      <c r="I19" t="s">
        <v>72</v>
      </c>
      <c r="J19" t="s">
        <v>78</v>
      </c>
      <c r="K19" t="s">
        <v>67</v>
      </c>
      <c r="L19" t="s">
        <v>70</v>
      </c>
      <c r="M19" s="36">
        <v>46036</v>
      </c>
      <c r="O19" s="4" t="s">
        <v>175</v>
      </c>
      <c r="P19" s="1"/>
      <c r="Q19" s="1"/>
      <c r="R19" s="38" t="s">
        <v>145</v>
      </c>
    </row>
    <row r="20" spans="1:18" hidden="1" x14ac:dyDescent="0.3">
      <c r="B20" s="5"/>
      <c r="C20" s="1"/>
      <c r="D20" s="2"/>
      <c r="E20" s="1">
        <f>Table1[[#This Row],[Rev]]*Table1[[#This Row],[GP %]]</f>
        <v>0</v>
      </c>
      <c r="G20" t="s">
        <v>121</v>
      </c>
      <c r="K20" t="s">
        <v>67</v>
      </c>
      <c r="L20" t="s">
        <v>173</v>
      </c>
      <c r="O20" s="4"/>
      <c r="P20" s="1"/>
      <c r="Q20" s="1"/>
      <c r="R20" s="38" t="s">
        <v>146</v>
      </c>
    </row>
    <row r="21" spans="1:18" ht="28.8" hidden="1" x14ac:dyDescent="0.3">
      <c r="A21" s="36"/>
      <c r="B21" s="5"/>
      <c r="C21" s="1"/>
      <c r="D21" s="2"/>
      <c r="E21" s="1">
        <f>Table1[[#This Row],[Rev]]*Table1[[#This Row],[GP %]]</f>
        <v>0</v>
      </c>
      <c r="F21" s="3">
        <v>5010003423</v>
      </c>
      <c r="G21" t="s">
        <v>123</v>
      </c>
      <c r="H21" t="s">
        <v>124</v>
      </c>
      <c r="L21" t="s">
        <v>173</v>
      </c>
      <c r="M21" s="36"/>
      <c r="O21" s="4"/>
      <c r="P21" s="1"/>
      <c r="Q21" s="1"/>
      <c r="R21" s="38" t="s">
        <v>147</v>
      </c>
    </row>
    <row r="22" spans="1:18" ht="28.8" hidden="1" x14ac:dyDescent="0.3">
      <c r="B22" s="5"/>
      <c r="C22" s="1"/>
      <c r="D22" s="2"/>
      <c r="E22" s="1">
        <f>Table1[[#This Row],[Rev]]*Table1[[#This Row],[GP %]]</f>
        <v>0</v>
      </c>
      <c r="G22" t="s">
        <v>125</v>
      </c>
      <c r="H22" t="s">
        <v>71</v>
      </c>
      <c r="J22" t="s">
        <v>80</v>
      </c>
      <c r="K22" t="s">
        <v>67</v>
      </c>
      <c r="L22" t="s">
        <v>171</v>
      </c>
      <c r="O22" s="4"/>
      <c r="P22" s="1"/>
      <c r="Q22" s="1"/>
      <c r="R22" s="38" t="s">
        <v>194</v>
      </c>
    </row>
    <row r="23" spans="1:18" hidden="1" x14ac:dyDescent="0.3">
      <c r="A23" s="36">
        <v>46034</v>
      </c>
      <c r="B23" s="5"/>
      <c r="C23" s="1">
        <v>5500</v>
      </c>
      <c r="D23" s="2">
        <v>0.3</v>
      </c>
      <c r="E23" s="1">
        <f>Table1[[#This Row],[Rev]]*Table1[[#This Row],[GP %]]</f>
        <v>1650</v>
      </c>
      <c r="G23" t="s">
        <v>126</v>
      </c>
      <c r="H23" t="s">
        <v>107</v>
      </c>
      <c r="K23" t="s">
        <v>66</v>
      </c>
      <c r="L23" t="s">
        <v>169</v>
      </c>
      <c r="M23" s="36">
        <v>46365</v>
      </c>
      <c r="O23" s="4" t="s">
        <v>170</v>
      </c>
      <c r="P23" s="1"/>
      <c r="Q23" s="1"/>
      <c r="R23" s="38" t="s">
        <v>148</v>
      </c>
    </row>
    <row r="24" spans="1:18" ht="43.2" x14ac:dyDescent="0.3">
      <c r="A24" s="36"/>
      <c r="B24" s="5"/>
      <c r="C24" s="1">
        <v>5500</v>
      </c>
      <c r="D24" s="2">
        <v>0.37</v>
      </c>
      <c r="E24" s="1">
        <f>Table1[[#This Row],[Rev]]*Table1[[#This Row],[GP %]]</f>
        <v>2035</v>
      </c>
      <c r="F24">
        <v>5010002500</v>
      </c>
      <c r="G24" t="s">
        <v>127</v>
      </c>
      <c r="H24" t="s">
        <v>107</v>
      </c>
      <c r="J24" t="s">
        <v>107</v>
      </c>
      <c r="K24" t="s">
        <v>67</v>
      </c>
      <c r="L24" t="s">
        <v>70</v>
      </c>
      <c r="M24" s="36"/>
      <c r="O24" s="4"/>
      <c r="P24" s="1"/>
      <c r="Q24" s="1"/>
      <c r="R24" s="38" t="s">
        <v>149</v>
      </c>
    </row>
    <row r="25" spans="1:18" ht="43.2" hidden="1" x14ac:dyDescent="0.3">
      <c r="B25" s="5"/>
      <c r="C25" s="1"/>
      <c r="D25" s="2"/>
      <c r="E25" s="1">
        <f>Table1[[#This Row],[Rev]]*Table1[[#This Row],[GP %]]</f>
        <v>0</v>
      </c>
      <c r="F25" s="3">
        <v>4010085595</v>
      </c>
      <c r="G25" t="s">
        <v>128</v>
      </c>
      <c r="K25" t="s">
        <v>67</v>
      </c>
      <c r="L25" t="s">
        <v>173</v>
      </c>
      <c r="M25" s="36"/>
      <c r="O25" s="4"/>
      <c r="P25" s="1"/>
      <c r="Q25" s="1"/>
      <c r="R25" s="38" t="s">
        <v>150</v>
      </c>
    </row>
    <row r="26" spans="1:18" hidden="1" x14ac:dyDescent="0.3">
      <c r="B26" s="5"/>
      <c r="C26" s="1"/>
      <c r="D26" s="2"/>
      <c r="E26" s="1">
        <f>Table1[[#This Row],[Rev]]*Table1[[#This Row],[GP %]]</f>
        <v>0</v>
      </c>
      <c r="G26" t="s">
        <v>130</v>
      </c>
      <c r="K26" t="s">
        <v>67</v>
      </c>
      <c r="L26" t="s">
        <v>171</v>
      </c>
      <c r="M26" s="36"/>
      <c r="O26" s="4"/>
      <c r="P26" s="1"/>
      <c r="Q26" s="1"/>
      <c r="R26" s="38" t="s">
        <v>176</v>
      </c>
    </row>
    <row r="27" spans="1:18" ht="28.8" hidden="1" x14ac:dyDescent="0.3">
      <c r="A27" s="36"/>
      <c r="B27" s="5"/>
      <c r="C27" s="1"/>
      <c r="D27" s="2"/>
      <c r="E27" s="1">
        <f>Table1[[#This Row],[Rev]]*Table1[[#This Row],[GP %]]</f>
        <v>0</v>
      </c>
      <c r="G27" s="32" t="s">
        <v>131</v>
      </c>
      <c r="J27" t="s">
        <v>68</v>
      </c>
      <c r="K27" t="s">
        <v>133</v>
      </c>
      <c r="L27" t="s">
        <v>171</v>
      </c>
      <c r="O27" s="4"/>
      <c r="P27" s="1"/>
      <c r="Q27" s="1"/>
      <c r="R27" s="38" t="s">
        <v>164</v>
      </c>
    </row>
    <row r="28" spans="1:18" ht="28.8" x14ac:dyDescent="0.3">
      <c r="B28" s="5"/>
      <c r="C28" s="1">
        <v>255368</v>
      </c>
      <c r="D28" s="2"/>
      <c r="E28" s="1">
        <f>Table1[[#This Row],[Rev]]*Table1[[#This Row],[GP %]]</f>
        <v>0</v>
      </c>
      <c r="F28" s="37">
        <v>5010001895</v>
      </c>
      <c r="G28" t="s">
        <v>134</v>
      </c>
      <c r="H28" t="s">
        <v>165</v>
      </c>
      <c r="J28" t="s">
        <v>95</v>
      </c>
      <c r="K28" t="s">
        <v>139</v>
      </c>
      <c r="L28" t="s">
        <v>70</v>
      </c>
      <c r="M28" s="36"/>
      <c r="O28" s="4"/>
      <c r="P28" s="1"/>
      <c r="Q28" s="1"/>
      <c r="R28" s="38" t="s">
        <v>206</v>
      </c>
    </row>
    <row r="29" spans="1:18" hidden="1" x14ac:dyDescent="0.3">
      <c r="A29" s="36"/>
      <c r="B29" s="5"/>
      <c r="C29" s="1"/>
      <c r="D29" s="2"/>
      <c r="E29" s="1">
        <f>Table1[[#This Row],[Rev]]*Table1[[#This Row],[GP %]]</f>
        <v>0</v>
      </c>
      <c r="G29" t="s">
        <v>135</v>
      </c>
      <c r="H29" t="s">
        <v>181</v>
      </c>
      <c r="K29" t="s">
        <v>66</v>
      </c>
      <c r="M29" s="36"/>
      <c r="O29" s="4"/>
      <c r="P29" s="1"/>
      <c r="Q29" s="1"/>
    </row>
    <row r="30" spans="1:18" hidden="1" x14ac:dyDescent="0.3">
      <c r="A30" s="36"/>
      <c r="B30" s="5"/>
      <c r="C30" s="1"/>
      <c r="D30" s="2"/>
      <c r="E30" s="1">
        <f>Table1[[#This Row],[Rev]]*Table1[[#This Row],[GP %]]</f>
        <v>0</v>
      </c>
      <c r="G30" t="s">
        <v>136</v>
      </c>
      <c r="H30" t="s">
        <v>182</v>
      </c>
      <c r="J30" t="s">
        <v>95</v>
      </c>
      <c r="K30" t="s">
        <v>94</v>
      </c>
      <c r="L30" t="s">
        <v>173</v>
      </c>
      <c r="M30" s="36"/>
      <c r="O30" s="4"/>
      <c r="P30" s="1"/>
      <c r="Q30" s="1"/>
      <c r="R30" s="38" t="s">
        <v>151</v>
      </c>
    </row>
    <row r="31" spans="1:18" x14ac:dyDescent="0.3">
      <c r="B31" s="5"/>
      <c r="C31" s="1">
        <v>34975.800000000003</v>
      </c>
      <c r="D31" s="2">
        <v>0.28000000000000003</v>
      </c>
      <c r="E31" s="1">
        <f>Table1[[#This Row],[Rev]]*Table1[[#This Row],[GP %]]</f>
        <v>9793.224000000002</v>
      </c>
      <c r="F31" s="3">
        <v>5010004388</v>
      </c>
      <c r="G31" t="s">
        <v>137</v>
      </c>
      <c r="H31" t="s">
        <v>140</v>
      </c>
      <c r="I31" t="s">
        <v>141</v>
      </c>
      <c r="J31" t="s">
        <v>107</v>
      </c>
      <c r="K31" t="s">
        <v>67</v>
      </c>
      <c r="L31" t="s">
        <v>70</v>
      </c>
      <c r="M31" s="36">
        <v>46030</v>
      </c>
      <c r="O31" s="4" t="s">
        <v>143</v>
      </c>
      <c r="P31" s="1"/>
      <c r="Q31" s="1"/>
      <c r="R31" s="38" t="s">
        <v>198</v>
      </c>
    </row>
    <row r="32" spans="1:18" hidden="1" x14ac:dyDescent="0.3">
      <c r="B32" s="5"/>
      <c r="C32" s="1"/>
      <c r="D32" s="2"/>
      <c r="E32" s="1">
        <f>Table1[[#This Row],[Rev]]*Table1[[#This Row],[GP %]]</f>
        <v>0</v>
      </c>
      <c r="G32" t="s">
        <v>138</v>
      </c>
      <c r="H32" t="s">
        <v>172</v>
      </c>
      <c r="J32" t="s">
        <v>95</v>
      </c>
      <c r="K32" t="s">
        <v>139</v>
      </c>
      <c r="L32" t="s">
        <v>171</v>
      </c>
      <c r="O32" s="4"/>
      <c r="P32" s="1"/>
      <c r="Q32" s="1"/>
      <c r="R32" s="38" t="s">
        <v>205</v>
      </c>
    </row>
    <row r="33" spans="1:18" hidden="1" x14ac:dyDescent="0.3">
      <c r="A33" s="36"/>
      <c r="B33" s="5"/>
      <c r="C33" s="1"/>
      <c r="D33" s="2"/>
      <c r="E33" s="1">
        <f>Table1[[#This Row],[Rev]]*Table1[[#This Row],[GP %]]</f>
        <v>0</v>
      </c>
      <c r="G33" s="32" t="s">
        <v>137</v>
      </c>
      <c r="H33" t="s">
        <v>144</v>
      </c>
      <c r="J33" t="s">
        <v>34</v>
      </c>
      <c r="K33" t="s">
        <v>67</v>
      </c>
      <c r="L33" t="s">
        <v>171</v>
      </c>
      <c r="M33" s="36"/>
      <c r="O33" s="4"/>
      <c r="P33" s="1"/>
      <c r="Q33" s="1"/>
    </row>
    <row r="34" spans="1:18" hidden="1" x14ac:dyDescent="0.3">
      <c r="B34" s="5"/>
      <c r="C34" s="1"/>
      <c r="D34" s="2"/>
      <c r="E34" s="1">
        <f>Table1[[#This Row],[Rev]]*Table1[[#This Row],[GP %]]</f>
        <v>0</v>
      </c>
      <c r="G34" t="s">
        <v>153</v>
      </c>
      <c r="H34" t="s">
        <v>155</v>
      </c>
      <c r="K34" t="s">
        <v>66</v>
      </c>
      <c r="O34" s="4"/>
      <c r="P34" s="1"/>
      <c r="Q34" s="1"/>
    </row>
    <row r="35" spans="1:18" hidden="1" x14ac:dyDescent="0.3">
      <c r="B35" s="5"/>
      <c r="C35" s="1"/>
      <c r="D35" s="2"/>
      <c r="E35" s="1">
        <f>Table1[[#This Row],[Rev]]*Table1[[#This Row],[GP %]]</f>
        <v>0</v>
      </c>
      <c r="G35" t="s">
        <v>154</v>
      </c>
      <c r="H35" t="s">
        <v>156</v>
      </c>
      <c r="J35" t="s">
        <v>34</v>
      </c>
      <c r="K35" t="s">
        <v>67</v>
      </c>
      <c r="L35" t="s">
        <v>171</v>
      </c>
      <c r="M35" s="36"/>
      <c r="O35" s="4"/>
      <c r="P35" s="1"/>
      <c r="Q35" s="1"/>
      <c r="R35" s="38" t="s">
        <v>177</v>
      </c>
    </row>
    <row r="36" spans="1:18" ht="28.8" hidden="1" x14ac:dyDescent="0.3">
      <c r="B36" s="5"/>
      <c r="C36" s="1">
        <v>25000</v>
      </c>
      <c r="D36" s="2"/>
      <c r="E36" s="1">
        <f>Table1[[#This Row],[Rev]]*Table1[[#This Row],[GP %]]</f>
        <v>0</v>
      </c>
      <c r="G36" t="s">
        <v>157</v>
      </c>
      <c r="H36" t="s">
        <v>158</v>
      </c>
      <c r="J36" t="s">
        <v>186</v>
      </c>
      <c r="K36" t="s">
        <v>139</v>
      </c>
      <c r="L36" t="s">
        <v>171</v>
      </c>
      <c r="M36" s="36"/>
      <c r="O36" s="4" t="s">
        <v>159</v>
      </c>
      <c r="P36" s="1"/>
      <c r="Q36" s="1"/>
      <c r="R36" s="38" t="s">
        <v>207</v>
      </c>
    </row>
    <row r="37" spans="1:18" ht="28.8" hidden="1" x14ac:dyDescent="0.3">
      <c r="B37" s="5"/>
      <c r="C37" s="1"/>
      <c r="D37" s="2"/>
      <c r="E37" s="1">
        <f>Table1[[#This Row],[Rev]]*Table1[[#This Row],[GP %]]</f>
        <v>0</v>
      </c>
      <c r="G37" t="s">
        <v>160</v>
      </c>
      <c r="H37" t="s">
        <v>80</v>
      </c>
      <c r="J37" t="s">
        <v>107</v>
      </c>
      <c r="K37" t="s">
        <v>67</v>
      </c>
      <c r="L37" t="s">
        <v>171</v>
      </c>
      <c r="O37" s="4" t="s">
        <v>175</v>
      </c>
      <c r="P37" s="1"/>
      <c r="Q37" s="1"/>
      <c r="R37" s="38" t="s">
        <v>195</v>
      </c>
    </row>
    <row r="38" spans="1:18" hidden="1" x14ac:dyDescent="0.3">
      <c r="B38" s="5"/>
      <c r="C38" s="1"/>
      <c r="D38" s="2"/>
      <c r="E38" s="1">
        <f>Table1[[#This Row],[Rev]]*Table1[[#This Row],[GP %]]</f>
        <v>0</v>
      </c>
      <c r="G38" t="s">
        <v>161</v>
      </c>
      <c r="H38" t="s">
        <v>162</v>
      </c>
      <c r="J38" t="s">
        <v>68</v>
      </c>
      <c r="K38" t="s">
        <v>67</v>
      </c>
      <c r="L38" t="s">
        <v>171</v>
      </c>
      <c r="O38" s="4" t="s">
        <v>99</v>
      </c>
      <c r="P38" s="1"/>
      <c r="Q38" s="1"/>
      <c r="R38" s="38" t="s">
        <v>196</v>
      </c>
    </row>
    <row r="39" spans="1:18" hidden="1" x14ac:dyDescent="0.3">
      <c r="B39" s="5"/>
      <c r="C39" s="1">
        <v>132000</v>
      </c>
      <c r="D39" s="2"/>
      <c r="E39" s="1">
        <f>Table1[[#This Row],[Rev]]*Table1[[#This Row],[GP %]]</f>
        <v>0</v>
      </c>
      <c r="G39" t="s">
        <v>166</v>
      </c>
      <c r="H39" t="s">
        <v>183</v>
      </c>
      <c r="J39" t="s">
        <v>68</v>
      </c>
      <c r="K39" t="s">
        <v>168</v>
      </c>
      <c r="L39" t="s">
        <v>171</v>
      </c>
      <c r="O39" s="4"/>
      <c r="P39" s="1"/>
      <c r="Q39" s="1"/>
      <c r="R39" s="38" t="s">
        <v>177</v>
      </c>
    </row>
    <row r="40" spans="1:18" ht="28.8" hidden="1" x14ac:dyDescent="0.3">
      <c r="B40" s="5"/>
      <c r="C40" s="1"/>
      <c r="D40" s="2"/>
      <c r="E40" s="1">
        <f>Table1[[#This Row],[Rev]]*Table1[[#This Row],[GP %]]</f>
        <v>0</v>
      </c>
      <c r="G40" t="s">
        <v>123</v>
      </c>
      <c r="H40" t="s">
        <v>167</v>
      </c>
      <c r="K40" t="s">
        <v>139</v>
      </c>
      <c r="L40" t="s">
        <v>171</v>
      </c>
      <c r="O40" s="4"/>
      <c r="P40" s="1"/>
      <c r="Q40" s="1"/>
      <c r="R40" s="38" t="s">
        <v>208</v>
      </c>
    </row>
    <row r="41" spans="1:18" ht="28.8" x14ac:dyDescent="0.3">
      <c r="B41" s="5"/>
      <c r="C41" s="1">
        <v>18510</v>
      </c>
      <c r="D41" s="2">
        <v>0.37</v>
      </c>
      <c r="E41" s="1">
        <f>Table1[[#This Row],[Rev]]*Table1[[#This Row],[GP %]]</f>
        <v>6848.7</v>
      </c>
      <c r="F41" s="3">
        <v>5010004557</v>
      </c>
      <c r="G41" t="s">
        <v>77</v>
      </c>
      <c r="H41" t="s">
        <v>152</v>
      </c>
      <c r="I41" t="s">
        <v>72</v>
      </c>
      <c r="J41" t="s">
        <v>68</v>
      </c>
      <c r="K41" t="s">
        <v>67</v>
      </c>
      <c r="L41" t="s">
        <v>70</v>
      </c>
      <c r="M41" s="36">
        <v>46037</v>
      </c>
      <c r="O41" s="4" t="s">
        <v>69</v>
      </c>
      <c r="P41" s="1"/>
      <c r="Q41" s="1"/>
      <c r="R41" s="38" t="s">
        <v>197</v>
      </c>
    </row>
    <row r="42" spans="1:18" hidden="1" x14ac:dyDescent="0.3">
      <c r="B42" s="5"/>
      <c r="C42" s="1"/>
      <c r="D42" s="2"/>
      <c r="E42" s="1">
        <f>Table1[[#This Row],[Rev]]*Table1[[#This Row],[GP %]]</f>
        <v>0</v>
      </c>
      <c r="G42" t="s">
        <v>84</v>
      </c>
      <c r="H42" t="s">
        <v>186</v>
      </c>
      <c r="K42" t="s">
        <v>139</v>
      </c>
      <c r="O42" s="4"/>
      <c r="P42" s="1"/>
      <c r="Q42" s="1"/>
    </row>
    <row r="43" spans="1:18" hidden="1" x14ac:dyDescent="0.3">
      <c r="B43" s="5"/>
      <c r="C43" s="1"/>
      <c r="D43" s="2"/>
      <c r="E43" s="1">
        <f>Table1[[#This Row],[Rev]]*Table1[[#This Row],[GP %]]</f>
        <v>0</v>
      </c>
      <c r="G43" t="s">
        <v>100</v>
      </c>
      <c r="H43" t="s">
        <v>178</v>
      </c>
      <c r="J43" t="s">
        <v>68</v>
      </c>
      <c r="K43" t="s">
        <v>67</v>
      </c>
      <c r="L43" t="s">
        <v>171</v>
      </c>
      <c r="O43" s="4"/>
      <c r="P43" s="1"/>
      <c r="Q43" s="1"/>
    </row>
    <row r="44" spans="1:18" hidden="1" x14ac:dyDescent="0.3">
      <c r="B44" s="5"/>
      <c r="C44" s="1"/>
      <c r="D44" s="2"/>
      <c r="E44" s="1">
        <f>Table1[[#This Row],[Rev]]*Table1[[#This Row],[GP %]]</f>
        <v>0</v>
      </c>
      <c r="G44" t="s">
        <v>179</v>
      </c>
      <c r="H44" t="s">
        <v>180</v>
      </c>
      <c r="J44" t="s">
        <v>142</v>
      </c>
      <c r="K44" t="s">
        <v>66</v>
      </c>
      <c r="L44" t="s">
        <v>171</v>
      </c>
      <c r="O44" s="4"/>
      <c r="P44" s="1"/>
      <c r="Q44" s="1"/>
    </row>
    <row r="45" spans="1:18" hidden="1" x14ac:dyDescent="0.3">
      <c r="B45" s="5"/>
      <c r="C45" s="1"/>
      <c r="D45" s="2"/>
      <c r="E45" s="1">
        <f>Table1[[#This Row],[Rev]]*Table1[[#This Row],[GP %]]</f>
        <v>0</v>
      </c>
      <c r="G45" t="s">
        <v>184</v>
      </c>
      <c r="H45" t="s">
        <v>185</v>
      </c>
      <c r="J45" t="s">
        <v>142</v>
      </c>
      <c r="K45" t="s">
        <v>66</v>
      </c>
      <c r="L45" t="s">
        <v>171</v>
      </c>
      <c r="O45" s="4" t="s">
        <v>199</v>
      </c>
      <c r="P45" s="1"/>
      <c r="Q45" s="1"/>
    </row>
    <row r="46" spans="1:18" hidden="1" x14ac:dyDescent="0.3">
      <c r="B46" s="5"/>
      <c r="C46" s="1"/>
      <c r="D46" s="2"/>
      <c r="E46" s="1">
        <f>Table1[[#This Row],[Rev]]*Table1[[#This Row],[GP %]]</f>
        <v>0</v>
      </c>
      <c r="G46" t="s">
        <v>189</v>
      </c>
      <c r="H46" t="s">
        <v>186</v>
      </c>
      <c r="J46" t="s">
        <v>186</v>
      </c>
      <c r="K46" t="s">
        <v>139</v>
      </c>
      <c r="L46" t="s">
        <v>171</v>
      </c>
      <c r="O46" s="4"/>
      <c r="P46" s="1"/>
      <c r="Q46" s="1"/>
    </row>
    <row r="47" spans="1:18" hidden="1" x14ac:dyDescent="0.3">
      <c r="B47" s="5"/>
      <c r="C47" s="1"/>
      <c r="D47" s="2"/>
      <c r="E47" s="1">
        <f>Table1[[#This Row],[Rev]]*Table1[[#This Row],[GP %]]</f>
        <v>0</v>
      </c>
      <c r="G47" t="s">
        <v>77</v>
      </c>
      <c r="H47" t="s">
        <v>162</v>
      </c>
      <c r="J47" t="s">
        <v>68</v>
      </c>
      <c r="K47" t="s">
        <v>67</v>
      </c>
      <c r="L47" t="s">
        <v>171</v>
      </c>
      <c r="O47" s="4" t="s">
        <v>69</v>
      </c>
      <c r="P47" s="1"/>
      <c r="Q47" s="1"/>
    </row>
    <row r="48" spans="1:18" hidden="1" x14ac:dyDescent="0.3">
      <c r="B48" s="5"/>
      <c r="C48" s="1"/>
      <c r="D48" s="2"/>
      <c r="E48" s="1">
        <f>Table1[[#This Row],[Rev]]*Table1[[#This Row],[GP %]]</f>
        <v>0</v>
      </c>
      <c r="G48" t="s">
        <v>97</v>
      </c>
      <c r="H48" t="s">
        <v>200</v>
      </c>
      <c r="K48" t="s">
        <v>67</v>
      </c>
      <c r="L48" t="s">
        <v>171</v>
      </c>
      <c r="O48" s="4" t="s">
        <v>99</v>
      </c>
      <c r="P48" s="1"/>
      <c r="Q48" s="1"/>
    </row>
    <row r="49" spans="2:18" hidden="1" x14ac:dyDescent="0.3">
      <c r="B49" s="5"/>
      <c r="C49" s="1"/>
      <c r="D49" s="2"/>
      <c r="E49" s="1">
        <f>Table1[[#This Row],[Rev]]*Table1[[#This Row],[GP %]]</f>
        <v>0</v>
      </c>
      <c r="G49" t="s">
        <v>201</v>
      </c>
      <c r="H49" t="s">
        <v>202</v>
      </c>
      <c r="J49" t="s">
        <v>68</v>
      </c>
      <c r="K49" t="s">
        <v>67</v>
      </c>
      <c r="L49" t="s">
        <v>171</v>
      </c>
      <c r="O49" s="4"/>
      <c r="P49" s="1"/>
      <c r="Q49" s="1"/>
    </row>
    <row r="50" spans="2:18" hidden="1" x14ac:dyDescent="0.3">
      <c r="B50" s="5"/>
      <c r="C50" s="1"/>
      <c r="D50" s="2"/>
      <c r="E50" s="1">
        <f>Table1[[#This Row],[Rev]]*Table1[[#This Row],[GP %]]</f>
        <v>0</v>
      </c>
      <c r="G50" t="s">
        <v>203</v>
      </c>
      <c r="H50" t="s">
        <v>204</v>
      </c>
      <c r="J50" t="s">
        <v>65</v>
      </c>
      <c r="K50" t="s">
        <v>67</v>
      </c>
      <c r="L50" t="s">
        <v>171</v>
      </c>
      <c r="O50" s="4"/>
      <c r="P50" s="1"/>
      <c r="Q50" s="1"/>
    </row>
    <row r="51" spans="2:18" hidden="1" x14ac:dyDescent="0.3">
      <c r="B51" s="5"/>
      <c r="C51" s="1"/>
      <c r="D51" s="2"/>
      <c r="E51" s="1">
        <f>Table1[[#This Row],[Rev]]*Table1[[#This Row],[GP %]]</f>
        <v>0</v>
      </c>
      <c r="G51" t="s">
        <v>209</v>
      </c>
      <c r="H51" t="s">
        <v>186</v>
      </c>
      <c r="J51" t="s">
        <v>186</v>
      </c>
      <c r="K51" t="s">
        <v>139</v>
      </c>
      <c r="L51" t="s">
        <v>171</v>
      </c>
      <c r="N51">
        <f>Table1[[#This Row],[Date Signed]]-Table1[[#This Row],[Tech Approval]]</f>
        <v>0</v>
      </c>
      <c r="O51" s="4" t="s">
        <v>210</v>
      </c>
      <c r="P51" s="1"/>
      <c r="Q51" s="1"/>
    </row>
    <row r="52" spans="2:18" hidden="1" x14ac:dyDescent="0.3">
      <c r="B52" s="5"/>
      <c r="C52" s="1"/>
      <c r="D52" s="2"/>
      <c r="E52" s="1">
        <f>Table1[[#This Row],[Rev]]*Table1[[#This Row],[GP %]]</f>
        <v>0</v>
      </c>
      <c r="G52" t="s">
        <v>211</v>
      </c>
      <c r="H52" t="s">
        <v>212</v>
      </c>
      <c r="K52" t="s">
        <v>139</v>
      </c>
      <c r="L52" t="s">
        <v>171</v>
      </c>
      <c r="N52">
        <f>Table1[[#This Row],[Date Signed]]-Table1[[#This Row],[Tech Approval]]</f>
        <v>0</v>
      </c>
      <c r="O52" s="4"/>
      <c r="P52" s="1"/>
      <c r="Q52" s="1"/>
      <c r="R52" s="38" t="s">
        <v>213</v>
      </c>
    </row>
    <row r="53" spans="2:18" hidden="1" x14ac:dyDescent="0.3">
      <c r="B53" s="5"/>
      <c r="C53" s="1"/>
      <c r="D53" s="2"/>
      <c r="E53" s="1">
        <f>Table1[[#This Row],[Rev]]*Table1[[#This Row],[GP %]]</f>
        <v>0</v>
      </c>
      <c r="G53" t="s">
        <v>209</v>
      </c>
      <c r="H53" t="s">
        <v>214</v>
      </c>
      <c r="N53">
        <f>Table1[[#This Row],[Date Signed]]-Table1[[#This Row],[Tech Approval]]</f>
        <v>0</v>
      </c>
      <c r="O53" s="4"/>
      <c r="P53" s="1"/>
      <c r="Q53" s="1"/>
    </row>
    <row r="54" spans="2:18" hidden="1" x14ac:dyDescent="0.3">
      <c r="B54" s="5"/>
      <c r="C54" s="1"/>
      <c r="D54" s="2"/>
      <c r="E54" s="1">
        <f>Table1[[#This Row],[Rev]]*Table1[[#This Row],[GP %]]</f>
        <v>0</v>
      </c>
      <c r="N54">
        <f>Table1[[#This Row],[Date Signed]]-Table1[[#This Row],[Tech Approval]]</f>
        <v>0</v>
      </c>
      <c r="O54" s="4"/>
      <c r="P54" s="1"/>
      <c r="Q54" s="1"/>
    </row>
    <row r="55" spans="2:18" hidden="1" x14ac:dyDescent="0.3">
      <c r="B55" s="5"/>
      <c r="C55" s="1"/>
      <c r="D55" s="2"/>
      <c r="E55" s="1">
        <f>Table1[[#This Row],[Rev]]*Table1[[#This Row],[GP %]]</f>
        <v>0</v>
      </c>
      <c r="N55">
        <f>Table1[[#This Row],[Date Signed]]-Table1[[#This Row],[Tech Approval]]</f>
        <v>0</v>
      </c>
      <c r="O55" s="4"/>
      <c r="P55" s="1"/>
      <c r="Q55" s="1"/>
    </row>
    <row r="56" spans="2:18" hidden="1" x14ac:dyDescent="0.3">
      <c r="B56" s="5"/>
      <c r="C56" s="1"/>
      <c r="D56" s="2"/>
      <c r="E56" s="1">
        <f>Table1[[#This Row],[Rev]]*Table1[[#This Row],[GP %]]</f>
        <v>0</v>
      </c>
      <c r="N56">
        <f>Table1[[#This Row],[Date Signed]]-Table1[[#This Row],[Tech Approval]]</f>
        <v>0</v>
      </c>
      <c r="O56" s="4"/>
      <c r="P56" s="1"/>
      <c r="Q56" s="1"/>
    </row>
    <row r="57" spans="2:18" hidden="1" x14ac:dyDescent="0.3">
      <c r="B57" s="5"/>
      <c r="C57" s="1"/>
      <c r="D57" s="2"/>
      <c r="E57" s="1">
        <f>Table1[[#This Row],[Rev]]*Table1[[#This Row],[GP %]]</f>
        <v>0</v>
      </c>
      <c r="N57">
        <f>Table1[[#This Row],[Date Signed]]-Table1[[#This Row],[Tech Approval]]</f>
        <v>0</v>
      </c>
      <c r="O57" s="4"/>
      <c r="P57" s="1"/>
      <c r="Q57" s="1"/>
    </row>
    <row r="58" spans="2:18" hidden="1" x14ac:dyDescent="0.3">
      <c r="B58" s="5"/>
      <c r="C58" s="1"/>
      <c r="D58" s="2"/>
      <c r="E58" s="1">
        <f>Table1[[#This Row],[Rev]]*Table1[[#This Row],[GP %]]</f>
        <v>0</v>
      </c>
      <c r="N58">
        <f>Table1[[#This Row],[Date Signed]]-Table1[[#This Row],[Tech Approval]]</f>
        <v>0</v>
      </c>
      <c r="O58" s="4"/>
      <c r="P58" s="1"/>
      <c r="Q58" s="1"/>
    </row>
    <row r="59" spans="2:18" hidden="1" x14ac:dyDescent="0.3">
      <c r="B59" s="5"/>
      <c r="C59" s="1"/>
      <c r="D59" s="2"/>
      <c r="E59" s="1">
        <f>Table1[[#This Row],[Rev]]*Table1[[#This Row],[GP %]]</f>
        <v>0</v>
      </c>
      <c r="N59">
        <f>Table1[[#This Row],[Date Signed]]-Table1[[#This Row],[Tech Approval]]</f>
        <v>0</v>
      </c>
      <c r="O59" s="4"/>
      <c r="P59" s="1"/>
      <c r="Q59" s="1"/>
    </row>
    <row r="60" spans="2:18" hidden="1" x14ac:dyDescent="0.3">
      <c r="B60" s="5"/>
      <c r="C60" s="1"/>
      <c r="D60" s="2"/>
      <c r="E60" s="1">
        <f>Table1[[#This Row],[Rev]]*Table1[[#This Row],[GP %]]</f>
        <v>0</v>
      </c>
      <c r="N60">
        <f>Table1[[#This Row],[Date Signed]]-Table1[[#This Row],[Tech Approval]]</f>
        <v>0</v>
      </c>
      <c r="O60" s="4"/>
      <c r="P60" s="1"/>
      <c r="Q60" s="1"/>
    </row>
    <row r="61" spans="2:18" hidden="1" x14ac:dyDescent="0.3">
      <c r="B61" s="5"/>
      <c r="C61" s="1"/>
      <c r="D61" s="2"/>
      <c r="E61" s="1">
        <f>Table1[[#This Row],[Rev]]*Table1[[#This Row],[GP %]]</f>
        <v>0</v>
      </c>
      <c r="N61">
        <f>Table1[[#This Row],[Date Signed]]-Table1[[#This Row],[Tech Approval]]</f>
        <v>0</v>
      </c>
      <c r="O61" s="4"/>
      <c r="P61" s="1"/>
      <c r="Q61" s="1"/>
    </row>
    <row r="62" spans="2:18" hidden="1" x14ac:dyDescent="0.3">
      <c r="B62" s="5"/>
      <c r="C62" s="1"/>
      <c r="D62" s="2"/>
      <c r="E62" s="1">
        <f>Table1[[#This Row],[Rev]]*Table1[[#This Row],[GP %]]</f>
        <v>0</v>
      </c>
      <c r="N62">
        <f>Table1[[#This Row],[Date Signed]]-Table1[[#This Row],[Tech Approval]]</f>
        <v>0</v>
      </c>
      <c r="O62" s="4"/>
      <c r="P62" s="1"/>
      <c r="Q62" s="1"/>
    </row>
    <row r="63" spans="2:18" hidden="1" x14ac:dyDescent="0.3">
      <c r="B63" s="5"/>
      <c r="C63" s="1"/>
      <c r="D63" s="2"/>
      <c r="E63" s="1">
        <f>Table1[[#This Row],[Rev]]*Table1[[#This Row],[GP %]]</f>
        <v>0</v>
      </c>
      <c r="N63">
        <f>Table1[[#This Row],[Date Signed]]-Table1[[#This Row],[Tech Approval]]</f>
        <v>0</v>
      </c>
      <c r="O63" s="4"/>
      <c r="P63" s="1"/>
      <c r="Q63" s="1"/>
    </row>
    <row r="64" spans="2:18" hidden="1" x14ac:dyDescent="0.3">
      <c r="B64" s="5"/>
      <c r="C64" s="1"/>
      <c r="D64" s="2"/>
      <c r="E64" s="1">
        <f>Table1[[#This Row],[Rev]]*Table1[[#This Row],[GP %]]</f>
        <v>0</v>
      </c>
      <c r="N64">
        <f>Table1[[#This Row],[Date Signed]]-Table1[[#This Row],[Tech Approval]]</f>
        <v>0</v>
      </c>
      <c r="O64" s="4"/>
      <c r="P64" s="1"/>
      <c r="Q64" s="1"/>
    </row>
    <row r="65" spans="2:17" hidden="1" x14ac:dyDescent="0.3">
      <c r="B65" s="5"/>
      <c r="C65" s="1"/>
      <c r="D65" s="2"/>
      <c r="E65" s="1">
        <f>Table1[[#This Row],[Rev]]*Table1[[#This Row],[GP %]]</f>
        <v>0</v>
      </c>
      <c r="N65">
        <f>Table1[[#This Row],[Date Signed]]-Table1[[#This Row],[Tech Approval]]</f>
        <v>0</v>
      </c>
      <c r="O65" s="4"/>
      <c r="P65" s="1"/>
      <c r="Q65" s="1"/>
    </row>
    <row r="66" spans="2:17" hidden="1" x14ac:dyDescent="0.3">
      <c r="B66" s="5"/>
      <c r="C66" s="1"/>
      <c r="D66" s="2"/>
      <c r="E66" s="1">
        <f>Table1[[#This Row],[Rev]]*Table1[[#This Row],[GP %]]</f>
        <v>0</v>
      </c>
      <c r="N66">
        <f>Table1[[#This Row],[Date Signed]]-Table1[[#This Row],[Tech Approval]]</f>
        <v>0</v>
      </c>
      <c r="O66" s="4"/>
      <c r="P66" s="1"/>
      <c r="Q66" s="1"/>
    </row>
    <row r="67" spans="2:17" hidden="1" x14ac:dyDescent="0.3">
      <c r="B67" s="5"/>
      <c r="C67" s="1"/>
      <c r="D67" s="2"/>
      <c r="E67" s="1">
        <f>Table1[[#This Row],[Rev]]*Table1[[#This Row],[GP %]]</f>
        <v>0</v>
      </c>
      <c r="N67">
        <f>Table1[[#This Row],[Date Signed]]-Table1[[#This Row],[Tech Approval]]</f>
        <v>0</v>
      </c>
      <c r="O67" s="4"/>
      <c r="P67" s="1"/>
      <c r="Q67" s="1"/>
    </row>
    <row r="68" spans="2:17" hidden="1" x14ac:dyDescent="0.3">
      <c r="B68" s="5"/>
      <c r="C68" s="1"/>
      <c r="D68" s="2"/>
      <c r="E68" s="1">
        <f>Table1[[#This Row],[Rev]]*Table1[[#This Row],[GP %]]</f>
        <v>0</v>
      </c>
      <c r="N68">
        <f>Table1[[#This Row],[Date Signed]]-Table1[[#This Row],[Tech Approval]]</f>
        <v>0</v>
      </c>
      <c r="O68" s="4"/>
      <c r="P68" s="1"/>
      <c r="Q68" s="1"/>
    </row>
    <row r="69" spans="2:17" hidden="1" x14ac:dyDescent="0.3">
      <c r="B69" s="5"/>
      <c r="C69" s="1"/>
      <c r="D69" s="2"/>
      <c r="E69" s="1">
        <f>Table1[[#This Row],[Rev]]*Table1[[#This Row],[GP %]]</f>
        <v>0</v>
      </c>
      <c r="N69">
        <f>Table1[[#This Row],[Date Signed]]-Table1[[#This Row],[Tech Approval]]</f>
        <v>0</v>
      </c>
      <c r="O69" s="4"/>
      <c r="P69" s="1"/>
      <c r="Q69" s="1"/>
    </row>
    <row r="70" spans="2:17" hidden="1" x14ac:dyDescent="0.3">
      <c r="B70" s="5"/>
      <c r="C70" s="1"/>
      <c r="D70" s="2"/>
      <c r="E70" s="1">
        <f>Table1[[#This Row],[Rev]]*Table1[[#This Row],[GP %]]</f>
        <v>0</v>
      </c>
      <c r="N70">
        <f>Table1[[#This Row],[Date Signed]]-Table1[[#This Row],[Tech Approval]]</f>
        <v>0</v>
      </c>
      <c r="O70" s="4"/>
      <c r="P70" s="1"/>
      <c r="Q70" s="1"/>
    </row>
    <row r="71" spans="2:17" hidden="1" x14ac:dyDescent="0.3">
      <c r="B71" s="5"/>
      <c r="C71" s="1"/>
      <c r="D71" s="2"/>
      <c r="E71" s="1">
        <f>Table1[[#This Row],[Rev]]*Table1[[#This Row],[GP %]]</f>
        <v>0</v>
      </c>
      <c r="N71">
        <f>Table1[[#This Row],[Date Signed]]-Table1[[#This Row],[Tech Approval]]</f>
        <v>0</v>
      </c>
      <c r="O71" s="4"/>
      <c r="P71" s="1"/>
      <c r="Q71" s="1"/>
    </row>
    <row r="72" spans="2:17" hidden="1" x14ac:dyDescent="0.3">
      <c r="B72" s="5"/>
      <c r="C72" s="1"/>
      <c r="D72" s="2"/>
      <c r="E72" s="1">
        <f>Table1[[#This Row],[Rev]]*Table1[[#This Row],[GP %]]</f>
        <v>0</v>
      </c>
      <c r="N72">
        <f>Table1[[#This Row],[Date Signed]]-Table1[[#This Row],[Tech Approval]]</f>
        <v>0</v>
      </c>
      <c r="O72" s="4"/>
      <c r="P72" s="1"/>
      <c r="Q72" s="1"/>
    </row>
    <row r="73" spans="2:17" hidden="1" x14ac:dyDescent="0.3">
      <c r="B73" s="5"/>
      <c r="C73" s="1"/>
      <c r="D73" s="2"/>
      <c r="E73" s="1">
        <f>Table1[[#This Row],[Rev]]*Table1[[#This Row],[GP %]]</f>
        <v>0</v>
      </c>
      <c r="N73">
        <f>Table1[[#This Row],[Date Signed]]-Table1[[#This Row],[Tech Approval]]</f>
        <v>0</v>
      </c>
      <c r="O73" s="4"/>
      <c r="P73" s="1"/>
      <c r="Q73" s="1"/>
    </row>
    <row r="74" spans="2:17" hidden="1" x14ac:dyDescent="0.3">
      <c r="B74" s="5"/>
      <c r="C74" s="1"/>
      <c r="D74" s="2"/>
      <c r="E74" s="1">
        <f>Table1[[#This Row],[Rev]]*Table1[[#This Row],[GP %]]</f>
        <v>0</v>
      </c>
      <c r="N74">
        <f>Table1[[#This Row],[Date Signed]]-Table1[[#This Row],[Tech Approval]]</f>
        <v>0</v>
      </c>
      <c r="O74" s="4"/>
      <c r="P74" s="1"/>
      <c r="Q74" s="1"/>
    </row>
    <row r="75" spans="2:17" hidden="1" x14ac:dyDescent="0.3">
      <c r="B75" s="5"/>
      <c r="C75" s="1"/>
      <c r="D75" s="2"/>
      <c r="E75" s="1">
        <f>Table1[[#This Row],[Rev]]*Table1[[#This Row],[GP %]]</f>
        <v>0</v>
      </c>
      <c r="N75">
        <f>Table1[[#This Row],[Date Signed]]-Table1[[#This Row],[Tech Approval]]</f>
        <v>0</v>
      </c>
      <c r="O75" s="4"/>
      <c r="P75" s="1"/>
      <c r="Q75" s="1"/>
    </row>
    <row r="76" spans="2:17" hidden="1" x14ac:dyDescent="0.3">
      <c r="B76" s="5"/>
      <c r="C76" s="1"/>
      <c r="D76" s="2"/>
      <c r="E76" s="1">
        <f>Table1[[#This Row],[Rev]]*Table1[[#This Row],[GP %]]</f>
        <v>0</v>
      </c>
      <c r="N76">
        <f>Table1[[#This Row],[Date Signed]]-Table1[[#This Row],[Tech Approval]]</f>
        <v>0</v>
      </c>
      <c r="O76" s="4"/>
      <c r="P76" s="1"/>
      <c r="Q76" s="1"/>
    </row>
    <row r="77" spans="2:17" hidden="1" x14ac:dyDescent="0.3">
      <c r="B77" s="5"/>
      <c r="C77" s="1"/>
      <c r="D77" s="2"/>
      <c r="E77" s="1">
        <f>Table1[[#This Row],[Rev]]*Table1[[#This Row],[GP %]]</f>
        <v>0</v>
      </c>
      <c r="N77">
        <f>Table1[[#This Row],[Date Signed]]-Table1[[#This Row],[Tech Approval]]</f>
        <v>0</v>
      </c>
      <c r="O77" s="4"/>
      <c r="P77" s="1"/>
      <c r="Q77" s="1"/>
    </row>
    <row r="78" spans="2:17" hidden="1" x14ac:dyDescent="0.3">
      <c r="B78" s="5"/>
      <c r="C78" s="1"/>
      <c r="D78" s="2"/>
      <c r="E78" s="1">
        <f>Table1[[#This Row],[Rev]]*Table1[[#This Row],[GP %]]</f>
        <v>0</v>
      </c>
      <c r="N78">
        <f>Table1[[#This Row],[Date Signed]]-Table1[[#This Row],[Tech Approval]]</f>
        <v>0</v>
      </c>
      <c r="O78" s="4"/>
      <c r="P78" s="1"/>
      <c r="Q78" s="1"/>
    </row>
    <row r="79" spans="2:17" hidden="1" x14ac:dyDescent="0.3">
      <c r="B79" s="5"/>
      <c r="C79" s="1"/>
      <c r="D79" s="2"/>
      <c r="E79" s="1">
        <f>Table1[[#This Row],[Rev]]*Table1[[#This Row],[GP %]]</f>
        <v>0</v>
      </c>
      <c r="N79">
        <f>Table1[[#This Row],[Date Signed]]-Table1[[#This Row],[Tech Approval]]</f>
        <v>0</v>
      </c>
      <c r="O79" s="4"/>
      <c r="P79" s="1"/>
      <c r="Q79" s="1"/>
    </row>
    <row r="80" spans="2:17" hidden="1" x14ac:dyDescent="0.3">
      <c r="B80" s="5"/>
      <c r="C80" s="1"/>
      <c r="D80" s="2"/>
      <c r="E80" s="1">
        <f>Table1[[#This Row],[Rev]]*Table1[[#This Row],[GP %]]</f>
        <v>0</v>
      </c>
      <c r="N80">
        <f>Table1[[#This Row],[Date Signed]]-Table1[[#This Row],[Tech Approval]]</f>
        <v>0</v>
      </c>
      <c r="O80" s="4"/>
      <c r="P80" s="1"/>
      <c r="Q80" s="1"/>
    </row>
    <row r="81" spans="2:17" hidden="1" x14ac:dyDescent="0.3">
      <c r="B81" s="5"/>
      <c r="C81" s="1"/>
      <c r="D81" s="2"/>
      <c r="E81" s="1">
        <f>Table1[[#This Row],[Rev]]*Table1[[#This Row],[GP %]]</f>
        <v>0</v>
      </c>
      <c r="N81">
        <f>Table1[[#This Row],[Date Signed]]-Table1[[#This Row],[Tech Approval]]</f>
        <v>0</v>
      </c>
      <c r="O81" s="4"/>
      <c r="P81" s="1"/>
      <c r="Q81" s="1"/>
    </row>
    <row r="82" spans="2:17" hidden="1" x14ac:dyDescent="0.3">
      <c r="B82" s="5"/>
      <c r="C82" s="1"/>
      <c r="D82" s="2"/>
      <c r="E82" s="1">
        <f>Table1[[#This Row],[Rev]]*Table1[[#This Row],[GP %]]</f>
        <v>0</v>
      </c>
      <c r="N82">
        <f>Table1[[#This Row],[Date Signed]]-Table1[[#This Row],[Tech Approval]]</f>
        <v>0</v>
      </c>
      <c r="O82" s="4"/>
      <c r="P82" s="1"/>
      <c r="Q82" s="1"/>
    </row>
    <row r="83" spans="2:17" hidden="1" x14ac:dyDescent="0.3">
      <c r="B83" s="5"/>
      <c r="C83" s="1"/>
      <c r="D83" s="2"/>
      <c r="E83" s="1">
        <f>Table1[[#This Row],[Rev]]*Table1[[#This Row],[GP %]]</f>
        <v>0</v>
      </c>
      <c r="N83">
        <f>Table1[[#This Row],[Date Signed]]-Table1[[#This Row],[Tech Approval]]</f>
        <v>0</v>
      </c>
      <c r="O83" s="4"/>
      <c r="P83" s="1"/>
      <c r="Q83" s="1"/>
    </row>
    <row r="84" spans="2:17" hidden="1" x14ac:dyDescent="0.3">
      <c r="B84" s="5"/>
      <c r="C84" s="1"/>
      <c r="D84" s="2"/>
      <c r="E84" s="1">
        <f>Table1[[#This Row],[Rev]]*Table1[[#This Row],[GP %]]</f>
        <v>0</v>
      </c>
      <c r="N84">
        <f>Table1[[#This Row],[Date Signed]]-Table1[[#This Row],[Tech Approval]]</f>
        <v>0</v>
      </c>
      <c r="O84" s="4"/>
      <c r="P84" s="1"/>
      <c r="Q84" s="1"/>
    </row>
    <row r="85" spans="2:17" hidden="1" x14ac:dyDescent="0.3">
      <c r="B85" s="5"/>
      <c r="C85" s="1"/>
      <c r="D85" s="2"/>
      <c r="E85" s="1">
        <f>Table1[[#This Row],[Rev]]*Table1[[#This Row],[GP %]]</f>
        <v>0</v>
      </c>
      <c r="N85">
        <f>Table1[[#This Row],[Date Signed]]-Table1[[#This Row],[Tech Approval]]</f>
        <v>0</v>
      </c>
      <c r="O85" s="4"/>
      <c r="P85" s="1"/>
      <c r="Q85" s="1"/>
    </row>
    <row r="86" spans="2:17" hidden="1" x14ac:dyDescent="0.3">
      <c r="B86" s="5"/>
      <c r="C86" s="1"/>
      <c r="D86" s="2"/>
      <c r="E86" s="1">
        <f>Table1[[#This Row],[Rev]]*Table1[[#This Row],[GP %]]</f>
        <v>0</v>
      </c>
      <c r="N86">
        <f>Table1[[#This Row],[Date Signed]]-Table1[[#This Row],[Tech Approval]]</f>
        <v>0</v>
      </c>
      <c r="O86" s="4"/>
      <c r="P86" s="1"/>
      <c r="Q86" s="1"/>
    </row>
    <row r="87" spans="2:17" hidden="1" x14ac:dyDescent="0.3">
      <c r="B87" s="5"/>
      <c r="C87" s="1"/>
      <c r="D87" s="2"/>
      <c r="E87" s="1">
        <f>Table1[[#This Row],[Rev]]*Table1[[#This Row],[GP %]]</f>
        <v>0</v>
      </c>
      <c r="N87">
        <f>Table1[[#This Row],[Date Signed]]-Table1[[#This Row],[Tech Approval]]</f>
        <v>0</v>
      </c>
      <c r="O87" s="4"/>
      <c r="P87" s="1"/>
      <c r="Q87" s="1"/>
    </row>
    <row r="88" spans="2:17" hidden="1" x14ac:dyDescent="0.3">
      <c r="B88" s="5"/>
      <c r="C88" s="1"/>
      <c r="D88" s="2"/>
      <c r="E88" s="1">
        <f>Table1[[#This Row],[Rev]]*Table1[[#This Row],[GP %]]</f>
        <v>0</v>
      </c>
      <c r="N88">
        <f>Table1[[#This Row],[Date Signed]]-Table1[[#This Row],[Tech Approval]]</f>
        <v>0</v>
      </c>
      <c r="O88" s="4"/>
      <c r="P88" s="1"/>
      <c r="Q88" s="1"/>
    </row>
    <row r="89" spans="2:17" hidden="1" x14ac:dyDescent="0.3">
      <c r="B89" s="5"/>
      <c r="C89" s="1"/>
      <c r="D89" s="2"/>
      <c r="E89" s="1">
        <f>Table1[[#This Row],[Rev]]*Table1[[#This Row],[GP %]]</f>
        <v>0</v>
      </c>
      <c r="N89">
        <f>Table1[[#This Row],[Date Signed]]-Table1[[#This Row],[Tech Approval]]</f>
        <v>0</v>
      </c>
      <c r="O89" s="4"/>
      <c r="P89" s="1"/>
      <c r="Q89" s="1"/>
    </row>
    <row r="90" spans="2:17" hidden="1" x14ac:dyDescent="0.3">
      <c r="B90" s="5"/>
      <c r="C90" s="1"/>
      <c r="D90" s="2"/>
      <c r="E90" s="1">
        <f>Table1[[#This Row],[Rev]]*Table1[[#This Row],[GP %]]</f>
        <v>0</v>
      </c>
      <c r="N90">
        <f>Table1[[#This Row],[Date Signed]]-Table1[[#This Row],[Tech Approval]]</f>
        <v>0</v>
      </c>
      <c r="O90" s="4"/>
      <c r="P90" s="1"/>
      <c r="Q90" s="1"/>
    </row>
    <row r="91" spans="2:17" hidden="1" x14ac:dyDescent="0.3">
      <c r="B91" s="5"/>
      <c r="C91" s="1"/>
      <c r="D91" s="2"/>
      <c r="E91" s="1">
        <f>Table1[[#This Row],[Rev]]*Table1[[#This Row],[GP %]]</f>
        <v>0</v>
      </c>
      <c r="N91">
        <f>Table1[[#This Row],[Date Signed]]-Table1[[#This Row],[Tech Approval]]</f>
        <v>0</v>
      </c>
      <c r="O91" s="4"/>
      <c r="P91" s="1"/>
      <c r="Q91" s="1"/>
    </row>
    <row r="92" spans="2:17" hidden="1" x14ac:dyDescent="0.3">
      <c r="B92" s="5"/>
      <c r="C92" s="1"/>
      <c r="D92" s="2"/>
      <c r="E92" s="1">
        <f>Table1[[#This Row],[Rev]]*Table1[[#This Row],[GP %]]</f>
        <v>0</v>
      </c>
      <c r="N92">
        <f>Table1[[#This Row],[Date Signed]]-Table1[[#This Row],[Tech Approval]]</f>
        <v>0</v>
      </c>
      <c r="O92" s="4"/>
      <c r="P92" s="1"/>
      <c r="Q92" s="1"/>
    </row>
    <row r="93" spans="2:17" hidden="1" x14ac:dyDescent="0.3">
      <c r="B93" s="5"/>
      <c r="C93" s="1"/>
      <c r="D93" s="2"/>
      <c r="E93" s="1">
        <f>Table1[[#This Row],[Rev]]*Table1[[#This Row],[GP %]]</f>
        <v>0</v>
      </c>
      <c r="N93">
        <f>Table1[[#This Row],[Date Signed]]-Table1[[#This Row],[Tech Approval]]</f>
        <v>0</v>
      </c>
      <c r="O93" s="4"/>
      <c r="P93" s="1"/>
      <c r="Q93" s="1"/>
    </row>
    <row r="94" spans="2:17" hidden="1" x14ac:dyDescent="0.3">
      <c r="B94" s="5"/>
      <c r="C94" s="1"/>
      <c r="D94" s="2"/>
      <c r="E94" s="1">
        <f>Table1[[#This Row],[Rev]]*Table1[[#This Row],[GP %]]</f>
        <v>0</v>
      </c>
      <c r="N94">
        <f>Table1[[#This Row],[Date Signed]]-Table1[[#This Row],[Tech Approval]]</f>
        <v>0</v>
      </c>
      <c r="O94" s="4"/>
      <c r="P94" s="1"/>
      <c r="Q94" s="1"/>
    </row>
    <row r="95" spans="2:17" hidden="1" x14ac:dyDescent="0.3">
      <c r="B95" s="5"/>
      <c r="C95" s="1"/>
      <c r="D95" s="2"/>
      <c r="E95" s="1">
        <f>Table1[[#This Row],[Rev]]*Table1[[#This Row],[GP %]]</f>
        <v>0</v>
      </c>
      <c r="N95">
        <f>Table1[[#This Row],[Date Signed]]-Table1[[#This Row],[Tech Approval]]</f>
        <v>0</v>
      </c>
      <c r="O95" s="4"/>
      <c r="P95" s="1"/>
      <c r="Q95" s="1"/>
    </row>
    <row r="96" spans="2:17" hidden="1" x14ac:dyDescent="0.3">
      <c r="B96" s="5"/>
      <c r="C96" s="1"/>
      <c r="D96" s="2"/>
      <c r="E96" s="1">
        <f>Table1[[#This Row],[Rev]]*Table1[[#This Row],[GP %]]</f>
        <v>0</v>
      </c>
      <c r="N96">
        <f>Table1[[#This Row],[Date Signed]]-Table1[[#This Row],[Tech Approval]]</f>
        <v>0</v>
      </c>
      <c r="O96" s="4"/>
      <c r="P96" s="1"/>
      <c r="Q96" s="1"/>
    </row>
    <row r="97" spans="2:17" hidden="1" x14ac:dyDescent="0.3">
      <c r="B97" s="5"/>
      <c r="C97" s="1"/>
      <c r="D97" s="2"/>
      <c r="E97" s="1">
        <f>Table1[[#This Row],[Rev]]*Table1[[#This Row],[GP %]]</f>
        <v>0</v>
      </c>
      <c r="N97">
        <f>Table1[[#This Row],[Date Signed]]-Table1[[#This Row],[Tech Approval]]</f>
        <v>0</v>
      </c>
      <c r="O97" s="4"/>
      <c r="P97" s="1"/>
      <c r="Q97" s="1"/>
    </row>
    <row r="98" spans="2:17" hidden="1" x14ac:dyDescent="0.3">
      <c r="B98" s="5"/>
      <c r="C98" s="1"/>
      <c r="D98" s="2"/>
      <c r="E98" s="1">
        <f>Table1[[#This Row],[Rev]]*Table1[[#This Row],[GP %]]</f>
        <v>0</v>
      </c>
      <c r="N98">
        <f>Table1[[#This Row],[Date Signed]]-Table1[[#This Row],[Tech Approval]]</f>
        <v>0</v>
      </c>
      <c r="O98" s="4"/>
      <c r="P98" s="1"/>
      <c r="Q98" s="1"/>
    </row>
    <row r="99" spans="2:17" hidden="1" x14ac:dyDescent="0.3">
      <c r="B99" s="5"/>
      <c r="C99" s="1"/>
      <c r="D99" s="2"/>
      <c r="E99" s="1">
        <f>Table1[[#This Row],[Rev]]*Table1[[#This Row],[GP %]]</f>
        <v>0</v>
      </c>
      <c r="N99">
        <f>Table1[[#This Row],[Date Signed]]-Table1[[#This Row],[Tech Approval]]</f>
        <v>0</v>
      </c>
      <c r="O99" s="4"/>
      <c r="P99" s="1"/>
      <c r="Q99" s="1"/>
    </row>
    <row r="100" spans="2:17" hidden="1" x14ac:dyDescent="0.3">
      <c r="B100" s="5"/>
      <c r="C100" s="1"/>
      <c r="D100" s="2"/>
      <c r="E100" s="1">
        <f>Table1[[#This Row],[Rev]]*Table1[[#This Row],[GP %]]</f>
        <v>0</v>
      </c>
      <c r="N100">
        <f>Table1[[#This Row],[Date Signed]]-Table1[[#This Row],[Tech Approval]]</f>
        <v>0</v>
      </c>
      <c r="O100" s="4"/>
      <c r="P100" s="1"/>
      <c r="Q100" s="1"/>
    </row>
    <row r="101" spans="2:17" hidden="1" x14ac:dyDescent="0.3">
      <c r="B101" s="5"/>
      <c r="C101" s="1"/>
      <c r="D101" s="2"/>
      <c r="E101" s="1">
        <f>Table1[[#This Row],[Rev]]*Table1[[#This Row],[GP %]]</f>
        <v>0</v>
      </c>
      <c r="N101">
        <f>Table1[[#This Row],[Date Signed]]-Table1[[#This Row],[Tech Approval]]</f>
        <v>0</v>
      </c>
      <c r="O101" s="4"/>
      <c r="P101" s="1"/>
      <c r="Q101" s="1"/>
    </row>
    <row r="102" spans="2:17" hidden="1" x14ac:dyDescent="0.3">
      <c r="B102" s="5"/>
      <c r="C102" s="1"/>
      <c r="D102" s="2"/>
      <c r="E102" s="1">
        <f>Table1[[#This Row],[Rev]]*Table1[[#This Row],[GP %]]</f>
        <v>0</v>
      </c>
      <c r="N102">
        <f>Table1[[#This Row],[Date Signed]]-Table1[[#This Row],[Tech Approval]]</f>
        <v>0</v>
      </c>
      <c r="O102" s="4"/>
      <c r="P102" s="1"/>
      <c r="Q102" s="1"/>
    </row>
    <row r="103" spans="2:17" hidden="1" x14ac:dyDescent="0.3">
      <c r="B103" s="5"/>
      <c r="C103" s="1"/>
      <c r="D103" s="2"/>
      <c r="E103" s="1">
        <f>Table1[[#This Row],[Rev]]*Table1[[#This Row],[GP %]]</f>
        <v>0</v>
      </c>
      <c r="N103">
        <f>Table1[[#This Row],[Date Signed]]-Table1[[#This Row],[Tech Approval]]</f>
        <v>0</v>
      </c>
      <c r="O103" s="4"/>
      <c r="P103" s="1"/>
      <c r="Q103" s="1"/>
    </row>
    <row r="104" spans="2:17" hidden="1" x14ac:dyDescent="0.3">
      <c r="B104" s="5"/>
      <c r="C104" s="1"/>
      <c r="D104" s="2"/>
      <c r="E104" s="1">
        <f>Table1[[#This Row],[Rev]]*Table1[[#This Row],[GP %]]</f>
        <v>0</v>
      </c>
      <c r="N104">
        <f>Table1[[#This Row],[Date Signed]]-Table1[[#This Row],[Tech Approval]]</f>
        <v>0</v>
      </c>
      <c r="O104" s="4"/>
      <c r="P104" s="1"/>
      <c r="Q104" s="1"/>
    </row>
    <row r="105" spans="2:17" hidden="1" x14ac:dyDescent="0.3">
      <c r="B105" s="5"/>
      <c r="C105" s="1"/>
      <c r="D105" s="2"/>
      <c r="E105" s="1">
        <f>Table1[[#This Row],[Rev]]*Table1[[#This Row],[GP %]]</f>
        <v>0</v>
      </c>
      <c r="N105">
        <f>Table1[[#This Row],[Date Signed]]-Table1[[#This Row],[Tech Approval]]</f>
        <v>0</v>
      </c>
      <c r="O105" s="4"/>
      <c r="P105" s="1"/>
      <c r="Q105" s="1"/>
    </row>
    <row r="106" spans="2:17" hidden="1" x14ac:dyDescent="0.3">
      <c r="B106" s="5"/>
      <c r="C106" s="1"/>
      <c r="D106" s="2"/>
      <c r="E106" s="1">
        <f>Table1[[#This Row],[Rev]]*Table1[[#This Row],[GP %]]</f>
        <v>0</v>
      </c>
      <c r="N106">
        <f>Table1[[#This Row],[Date Signed]]-Table1[[#This Row],[Tech Approval]]</f>
        <v>0</v>
      </c>
      <c r="O106" s="4"/>
      <c r="P106" s="1"/>
      <c r="Q106" s="1"/>
    </row>
    <row r="107" spans="2:17" hidden="1" x14ac:dyDescent="0.3">
      <c r="B107" s="5"/>
      <c r="C107" s="1"/>
      <c r="D107" s="2"/>
      <c r="E107" s="1">
        <f>Table1[[#This Row],[Rev]]*Table1[[#This Row],[GP %]]</f>
        <v>0</v>
      </c>
      <c r="N107">
        <f>Table1[[#This Row],[Date Signed]]-Table1[[#This Row],[Tech Approval]]</f>
        <v>0</v>
      </c>
      <c r="O107" s="4"/>
      <c r="P107" s="1"/>
      <c r="Q107" s="1"/>
    </row>
    <row r="108" spans="2:17" hidden="1" x14ac:dyDescent="0.3">
      <c r="B108" s="5"/>
      <c r="C108" s="1"/>
      <c r="D108" s="2"/>
      <c r="E108" s="1">
        <f>Table1[[#This Row],[Rev]]*Table1[[#This Row],[GP %]]</f>
        <v>0</v>
      </c>
      <c r="N108">
        <f>Table1[[#This Row],[Date Signed]]-Table1[[#This Row],[Tech Approval]]</f>
        <v>0</v>
      </c>
      <c r="O108" s="4"/>
      <c r="P108" s="1"/>
      <c r="Q108" s="1"/>
    </row>
    <row r="109" spans="2:17" hidden="1" x14ac:dyDescent="0.3">
      <c r="B109" s="5"/>
      <c r="C109" s="1"/>
      <c r="D109" s="2"/>
      <c r="E109" s="1">
        <f>Table1[[#This Row],[Rev]]*Table1[[#This Row],[GP %]]</f>
        <v>0</v>
      </c>
      <c r="N109">
        <f>Table1[[#This Row],[Date Signed]]-Table1[[#This Row],[Tech Approval]]</f>
        <v>0</v>
      </c>
      <c r="O109" s="4"/>
      <c r="P109" s="1"/>
      <c r="Q109" s="1"/>
    </row>
    <row r="110" spans="2:17" hidden="1" x14ac:dyDescent="0.3">
      <c r="B110" s="5"/>
      <c r="C110" s="1"/>
      <c r="D110" s="2"/>
      <c r="E110" s="1">
        <f>Table1[[#This Row],[Rev]]*Table1[[#This Row],[GP %]]</f>
        <v>0</v>
      </c>
      <c r="N110">
        <f>Table1[[#This Row],[Date Signed]]-Table1[[#This Row],[Tech Approval]]</f>
        <v>0</v>
      </c>
      <c r="O110" s="4"/>
      <c r="P110" s="1"/>
      <c r="Q110" s="1"/>
    </row>
    <row r="111" spans="2:17" hidden="1" x14ac:dyDescent="0.3">
      <c r="B111" s="5"/>
      <c r="C111" s="1"/>
      <c r="D111" s="2"/>
      <c r="E111" s="1">
        <f>Table1[[#This Row],[Rev]]*Table1[[#This Row],[GP %]]</f>
        <v>0</v>
      </c>
      <c r="N111">
        <f>Table1[[#This Row],[Date Signed]]-Table1[[#This Row],[Tech Approval]]</f>
        <v>0</v>
      </c>
      <c r="O111" s="4"/>
      <c r="P111" s="1"/>
      <c r="Q111" s="1"/>
    </row>
    <row r="112" spans="2:17" hidden="1" x14ac:dyDescent="0.3">
      <c r="B112" s="5"/>
      <c r="C112" s="1"/>
      <c r="D112" s="2"/>
      <c r="E112" s="1">
        <f>Table1[[#This Row],[Rev]]*Table1[[#This Row],[GP %]]</f>
        <v>0</v>
      </c>
      <c r="N112">
        <f>Table1[[#This Row],[Date Signed]]-Table1[[#This Row],[Tech Approval]]</f>
        <v>0</v>
      </c>
      <c r="O112" s="4"/>
      <c r="P112" s="1"/>
      <c r="Q112" s="1"/>
    </row>
    <row r="113" spans="2:17" hidden="1" x14ac:dyDescent="0.3">
      <c r="B113" s="5"/>
      <c r="C113" s="1"/>
      <c r="D113" s="2"/>
      <c r="E113" s="1">
        <f>Table1[[#This Row],[Rev]]*Table1[[#This Row],[GP %]]</f>
        <v>0</v>
      </c>
      <c r="N113">
        <f>Table1[[#This Row],[Date Signed]]-Table1[[#This Row],[Tech Approval]]</f>
        <v>0</v>
      </c>
      <c r="O113" s="4"/>
      <c r="P113" s="1"/>
      <c r="Q113" s="1"/>
    </row>
    <row r="114" spans="2:17" hidden="1" x14ac:dyDescent="0.3">
      <c r="B114" s="5"/>
      <c r="C114" s="1"/>
      <c r="D114" s="2"/>
      <c r="E114" s="1">
        <f>Table1[[#This Row],[Rev]]*Table1[[#This Row],[GP %]]</f>
        <v>0</v>
      </c>
      <c r="N114">
        <f>Table1[[#This Row],[Date Signed]]-Table1[[#This Row],[Tech Approval]]</f>
        <v>0</v>
      </c>
      <c r="O114" s="4"/>
      <c r="P114" s="1"/>
      <c r="Q114" s="1"/>
    </row>
    <row r="115" spans="2:17" hidden="1" x14ac:dyDescent="0.3">
      <c r="B115" s="5"/>
      <c r="C115" s="1"/>
      <c r="D115" s="2"/>
      <c r="E115" s="1">
        <f>Table1[[#This Row],[Rev]]*Table1[[#This Row],[GP %]]</f>
        <v>0</v>
      </c>
      <c r="N115">
        <f>Table1[[#This Row],[Date Signed]]-Table1[[#This Row],[Tech Approval]]</f>
        <v>0</v>
      </c>
      <c r="O115" s="4"/>
      <c r="P115" s="1"/>
      <c r="Q115" s="1"/>
    </row>
    <row r="116" spans="2:17" hidden="1" x14ac:dyDescent="0.3">
      <c r="B116" s="5"/>
      <c r="C116" s="1"/>
      <c r="D116" s="2"/>
      <c r="E116" s="1">
        <f>Table1[[#This Row],[Rev]]*Table1[[#This Row],[GP %]]</f>
        <v>0</v>
      </c>
      <c r="N116">
        <f>Table1[[#This Row],[Date Signed]]-Table1[[#This Row],[Tech Approval]]</f>
        <v>0</v>
      </c>
      <c r="O116" s="4"/>
      <c r="P116" s="1"/>
      <c r="Q116" s="1"/>
    </row>
    <row r="117" spans="2:17" hidden="1" x14ac:dyDescent="0.3">
      <c r="B117" s="5"/>
      <c r="C117" s="1"/>
      <c r="D117" s="2"/>
      <c r="E117" s="1">
        <f>Table1[[#This Row],[Rev]]*Table1[[#This Row],[GP %]]</f>
        <v>0</v>
      </c>
      <c r="N117">
        <f>Table1[[#This Row],[Date Signed]]-Table1[[#This Row],[Tech Approval]]</f>
        <v>0</v>
      </c>
      <c r="O117" s="4"/>
      <c r="P117" s="1"/>
      <c r="Q117" s="1"/>
    </row>
    <row r="118" spans="2:17" hidden="1" x14ac:dyDescent="0.3">
      <c r="B118" s="5"/>
      <c r="C118" s="1"/>
      <c r="D118" s="2"/>
      <c r="E118" s="1">
        <f>Table1[[#This Row],[Rev]]*Table1[[#This Row],[GP %]]</f>
        <v>0</v>
      </c>
      <c r="N118">
        <f>Table1[[#This Row],[Date Signed]]-Table1[[#This Row],[Tech Approval]]</f>
        <v>0</v>
      </c>
      <c r="O118" s="4"/>
      <c r="P118" s="1"/>
      <c r="Q118" s="1"/>
    </row>
    <row r="119" spans="2:17" hidden="1" x14ac:dyDescent="0.3">
      <c r="B119" s="5"/>
      <c r="C119" s="1"/>
      <c r="D119" s="2"/>
      <c r="E119" s="1">
        <f>Table1[[#This Row],[Rev]]*Table1[[#This Row],[GP %]]</f>
        <v>0</v>
      </c>
      <c r="N119">
        <f>Table1[[#This Row],[Date Signed]]-Table1[[#This Row],[Tech Approval]]</f>
        <v>0</v>
      </c>
      <c r="O119" s="4"/>
      <c r="P119" s="1"/>
      <c r="Q119" s="1"/>
    </row>
    <row r="120" spans="2:17" hidden="1" x14ac:dyDescent="0.3">
      <c r="B120" s="5"/>
      <c r="C120" s="1"/>
      <c r="D120" s="2"/>
      <c r="E120" s="1">
        <f>Table1[[#This Row],[Rev]]*Table1[[#This Row],[GP %]]</f>
        <v>0</v>
      </c>
      <c r="N120">
        <f>Table1[[#This Row],[Date Signed]]-Table1[[#This Row],[Tech Approval]]</f>
        <v>0</v>
      </c>
      <c r="O120" s="4"/>
      <c r="P120" s="1"/>
      <c r="Q120" s="1"/>
    </row>
    <row r="121" spans="2:17" hidden="1" x14ac:dyDescent="0.3">
      <c r="B121" s="5"/>
      <c r="C121" s="1"/>
      <c r="D121" s="2"/>
      <c r="E121" s="1">
        <f>Table1[[#This Row],[Rev]]*Table1[[#This Row],[GP %]]</f>
        <v>0</v>
      </c>
      <c r="N121">
        <f>Table1[[#This Row],[Date Signed]]-Table1[[#This Row],[Tech Approval]]</f>
        <v>0</v>
      </c>
      <c r="O121" s="4"/>
      <c r="P121" s="1"/>
      <c r="Q121" s="1"/>
    </row>
    <row r="122" spans="2:17" hidden="1" x14ac:dyDescent="0.3">
      <c r="B122" s="5"/>
      <c r="C122" s="1"/>
      <c r="D122" s="2"/>
      <c r="E122" s="1">
        <f>Table1[[#This Row],[Rev]]*Table1[[#This Row],[GP %]]</f>
        <v>0</v>
      </c>
      <c r="N122">
        <f>Table1[[#This Row],[Date Signed]]-Table1[[#This Row],[Tech Approval]]</f>
        <v>0</v>
      </c>
      <c r="O122" s="4"/>
      <c r="P122" s="1"/>
      <c r="Q122" s="1"/>
    </row>
    <row r="123" spans="2:17" hidden="1" x14ac:dyDescent="0.3">
      <c r="B123" s="5"/>
      <c r="C123" s="1"/>
      <c r="D123" s="2"/>
      <c r="E123" s="1">
        <f>Table1[[#This Row],[Rev]]*Table1[[#This Row],[GP %]]</f>
        <v>0</v>
      </c>
      <c r="N123">
        <f>Table1[[#This Row],[Date Signed]]-Table1[[#This Row],[Tech Approval]]</f>
        <v>0</v>
      </c>
      <c r="O123" s="4"/>
      <c r="P123" s="1"/>
      <c r="Q123" s="1"/>
    </row>
    <row r="124" spans="2:17" hidden="1" x14ac:dyDescent="0.3">
      <c r="B124" s="5"/>
      <c r="C124" s="1"/>
      <c r="D124" s="2"/>
      <c r="E124" s="1">
        <f>Table1[[#This Row],[Rev]]*Table1[[#This Row],[GP %]]</f>
        <v>0</v>
      </c>
      <c r="N124">
        <f>Table1[[#This Row],[Date Signed]]-Table1[[#This Row],[Tech Approval]]</f>
        <v>0</v>
      </c>
      <c r="O124" s="4"/>
      <c r="P124" s="1"/>
      <c r="Q124" s="1"/>
    </row>
    <row r="125" spans="2:17" hidden="1" x14ac:dyDescent="0.3">
      <c r="B125" s="5"/>
      <c r="C125" s="1"/>
      <c r="D125" s="2"/>
      <c r="E125" s="1">
        <f>Table1[[#This Row],[Rev]]*Table1[[#This Row],[GP %]]</f>
        <v>0</v>
      </c>
      <c r="N125">
        <f>Table1[[#This Row],[Date Signed]]-Table1[[#This Row],[Tech Approval]]</f>
        <v>0</v>
      </c>
      <c r="O125" s="4"/>
      <c r="P125" s="1"/>
      <c r="Q125" s="1"/>
    </row>
    <row r="126" spans="2:17" hidden="1" x14ac:dyDescent="0.3">
      <c r="B126" s="5"/>
      <c r="C126" s="1"/>
      <c r="D126" s="2"/>
      <c r="E126" s="1">
        <f>Table1[[#This Row],[Rev]]*Table1[[#This Row],[GP %]]</f>
        <v>0</v>
      </c>
      <c r="N126">
        <f>Table1[[#This Row],[Date Signed]]-Table1[[#This Row],[Tech Approval]]</f>
        <v>0</v>
      </c>
      <c r="O126" s="4"/>
      <c r="P126" s="1"/>
      <c r="Q126" s="1"/>
    </row>
    <row r="127" spans="2:17" hidden="1" x14ac:dyDescent="0.3">
      <c r="B127" s="5"/>
      <c r="C127" s="1"/>
      <c r="D127" s="2"/>
      <c r="E127" s="1">
        <f>Table1[[#This Row],[Rev]]*Table1[[#This Row],[GP %]]</f>
        <v>0</v>
      </c>
      <c r="N127">
        <f>Table1[[#This Row],[Date Signed]]-Table1[[#This Row],[Tech Approval]]</f>
        <v>0</v>
      </c>
      <c r="O127" s="4"/>
      <c r="P127" s="1"/>
      <c r="Q127" s="1"/>
    </row>
    <row r="128" spans="2:17" hidden="1" x14ac:dyDescent="0.3">
      <c r="B128" s="5"/>
      <c r="C128" s="1"/>
      <c r="D128" s="2"/>
      <c r="E128" s="1">
        <f>Table1[[#This Row],[Rev]]*Table1[[#This Row],[GP %]]</f>
        <v>0</v>
      </c>
      <c r="N128">
        <f>Table1[[#This Row],[Date Signed]]-Table1[[#This Row],[Tech Approval]]</f>
        <v>0</v>
      </c>
      <c r="O128" s="4"/>
      <c r="P128" s="1"/>
      <c r="Q128" s="1"/>
    </row>
    <row r="129" spans="2:17" hidden="1" x14ac:dyDescent="0.3">
      <c r="B129" s="5"/>
      <c r="C129" s="1"/>
      <c r="D129" s="2"/>
      <c r="E129" s="1">
        <f>Table1[[#This Row],[Rev]]*Table1[[#This Row],[GP %]]</f>
        <v>0</v>
      </c>
      <c r="N129">
        <f>Table1[[#This Row],[Date Signed]]-Table1[[#This Row],[Tech Approval]]</f>
        <v>0</v>
      </c>
      <c r="O129" s="4"/>
      <c r="P129" s="1"/>
      <c r="Q129" s="1"/>
    </row>
    <row r="130" spans="2:17" hidden="1" x14ac:dyDescent="0.3">
      <c r="B130" s="5"/>
      <c r="C130" s="1"/>
      <c r="D130" s="2"/>
      <c r="E130" s="1">
        <f>Table1[[#This Row],[Rev]]*Table1[[#This Row],[GP %]]</f>
        <v>0</v>
      </c>
      <c r="N130">
        <f>Table1[[#This Row],[Date Signed]]-Table1[[#This Row],[Tech Approval]]</f>
        <v>0</v>
      </c>
      <c r="O130" s="4"/>
      <c r="P130" s="1"/>
      <c r="Q130" s="1"/>
    </row>
    <row r="131" spans="2:17" hidden="1" x14ac:dyDescent="0.3">
      <c r="B131" s="5"/>
      <c r="C131" s="1"/>
      <c r="D131" s="2"/>
      <c r="E131" s="1">
        <f>Table1[[#This Row],[Rev]]*Table1[[#This Row],[GP %]]</f>
        <v>0</v>
      </c>
      <c r="N131">
        <f>Table1[[#This Row],[Date Signed]]-Table1[[#This Row],[Tech Approval]]</f>
        <v>0</v>
      </c>
      <c r="O131" s="4"/>
      <c r="P131" s="1"/>
      <c r="Q131" s="1"/>
    </row>
    <row r="132" spans="2:17" hidden="1" x14ac:dyDescent="0.3">
      <c r="B132" s="5"/>
      <c r="C132" s="1"/>
      <c r="D132" s="2"/>
      <c r="E132" s="1">
        <f>Table1[[#This Row],[Rev]]*Table1[[#This Row],[GP %]]</f>
        <v>0</v>
      </c>
      <c r="N132">
        <f>Table1[[#This Row],[Date Signed]]-Table1[[#This Row],[Tech Approval]]</f>
        <v>0</v>
      </c>
      <c r="O132" s="4"/>
      <c r="P132" s="1"/>
      <c r="Q132" s="1"/>
    </row>
    <row r="133" spans="2:17" hidden="1" x14ac:dyDescent="0.3">
      <c r="B133" s="5"/>
      <c r="C133" s="1"/>
      <c r="D133" s="2"/>
      <c r="E133" s="1">
        <f>Table1[[#This Row],[Rev]]*Table1[[#This Row],[GP %]]</f>
        <v>0</v>
      </c>
      <c r="N133">
        <f>Table1[[#This Row],[Date Signed]]-Table1[[#This Row],[Tech Approval]]</f>
        <v>0</v>
      </c>
      <c r="O133" s="4"/>
      <c r="P133" s="1"/>
      <c r="Q133" s="1"/>
    </row>
    <row r="134" spans="2:17" hidden="1" x14ac:dyDescent="0.3">
      <c r="B134" s="5"/>
      <c r="C134" s="1"/>
      <c r="D134" s="2"/>
      <c r="E134" s="1">
        <f>Table1[[#This Row],[Rev]]*Table1[[#This Row],[GP %]]</f>
        <v>0</v>
      </c>
      <c r="N134">
        <f>Table1[[#This Row],[Date Signed]]-Table1[[#This Row],[Tech Approval]]</f>
        <v>0</v>
      </c>
      <c r="O134" s="4"/>
      <c r="P134" s="1"/>
      <c r="Q134" s="1"/>
    </row>
    <row r="135" spans="2:17" hidden="1" x14ac:dyDescent="0.3">
      <c r="B135" s="5"/>
      <c r="C135" s="1"/>
      <c r="D135" s="2"/>
      <c r="E135" s="1">
        <f>Table1[[#This Row],[Rev]]*Table1[[#This Row],[GP %]]</f>
        <v>0</v>
      </c>
      <c r="N135">
        <f>Table1[[#This Row],[Date Signed]]-Table1[[#This Row],[Tech Approval]]</f>
        <v>0</v>
      </c>
      <c r="O135" s="4"/>
      <c r="P135" s="1"/>
      <c r="Q135" s="1"/>
    </row>
    <row r="136" spans="2:17" hidden="1" x14ac:dyDescent="0.3">
      <c r="B136" s="5"/>
      <c r="C136" s="1"/>
      <c r="D136" s="2"/>
      <c r="E136" s="1">
        <f>Table1[[#This Row],[Rev]]*Table1[[#This Row],[GP %]]</f>
        <v>0</v>
      </c>
      <c r="N136">
        <f>Table1[[#This Row],[Date Signed]]-Table1[[#This Row],[Tech Approval]]</f>
        <v>0</v>
      </c>
      <c r="O136" s="4"/>
      <c r="P136" s="1"/>
      <c r="Q136" s="1"/>
    </row>
    <row r="137" spans="2:17" hidden="1" x14ac:dyDescent="0.3">
      <c r="B137" s="5"/>
      <c r="C137" s="1"/>
      <c r="D137" s="2"/>
      <c r="E137" s="1">
        <f>Table1[[#This Row],[Rev]]*Table1[[#This Row],[GP %]]</f>
        <v>0</v>
      </c>
      <c r="N137">
        <f>Table1[[#This Row],[Date Signed]]-Table1[[#This Row],[Tech Approval]]</f>
        <v>0</v>
      </c>
      <c r="O137" s="4"/>
      <c r="P137" s="1"/>
      <c r="Q137" s="1"/>
    </row>
    <row r="138" spans="2:17" hidden="1" x14ac:dyDescent="0.3">
      <c r="B138" s="5"/>
      <c r="C138" s="1"/>
      <c r="D138" s="2"/>
      <c r="E138" s="1">
        <f>Table1[[#This Row],[Rev]]*Table1[[#This Row],[GP %]]</f>
        <v>0</v>
      </c>
      <c r="N138">
        <f>Table1[[#This Row],[Date Signed]]-Table1[[#This Row],[Tech Approval]]</f>
        <v>0</v>
      </c>
      <c r="O138" s="4"/>
      <c r="P138" s="1"/>
      <c r="Q138" s="1"/>
    </row>
    <row r="139" spans="2:17" hidden="1" x14ac:dyDescent="0.3">
      <c r="B139" s="5"/>
      <c r="C139" s="1"/>
      <c r="D139" s="2"/>
      <c r="E139" s="1">
        <f>Table1[[#This Row],[Rev]]*Table1[[#This Row],[GP %]]</f>
        <v>0</v>
      </c>
      <c r="N139">
        <f>Table1[[#This Row],[Date Signed]]-Table1[[#This Row],[Tech Approval]]</f>
        <v>0</v>
      </c>
      <c r="O139" s="4"/>
      <c r="P139" s="1"/>
      <c r="Q139" s="1"/>
    </row>
    <row r="140" spans="2:17" hidden="1" x14ac:dyDescent="0.3">
      <c r="B140" s="5"/>
      <c r="C140" s="1"/>
      <c r="D140" s="2"/>
      <c r="E140" s="1">
        <f>Table1[[#This Row],[Rev]]*Table1[[#This Row],[GP %]]</f>
        <v>0</v>
      </c>
      <c r="N140">
        <f>Table1[[#This Row],[Date Signed]]-Table1[[#This Row],[Tech Approval]]</f>
        <v>0</v>
      </c>
      <c r="O140" s="4"/>
      <c r="P140" s="1"/>
      <c r="Q140" s="1"/>
    </row>
    <row r="141" spans="2:17" hidden="1" x14ac:dyDescent="0.3">
      <c r="B141" s="5"/>
      <c r="C141" s="1"/>
      <c r="D141" s="2"/>
      <c r="E141" s="1">
        <f>Table1[[#This Row],[Rev]]*Table1[[#This Row],[GP %]]</f>
        <v>0</v>
      </c>
      <c r="N141">
        <f>Table1[[#This Row],[Date Signed]]-Table1[[#This Row],[Tech Approval]]</f>
        <v>0</v>
      </c>
      <c r="O141" s="4"/>
      <c r="P141" s="1"/>
      <c r="Q141" s="1"/>
    </row>
    <row r="142" spans="2:17" hidden="1" x14ac:dyDescent="0.3">
      <c r="B142" s="5"/>
      <c r="C142" s="1"/>
      <c r="D142" s="2"/>
      <c r="E142" s="1">
        <f>Table1[[#This Row],[Rev]]*Table1[[#This Row],[GP %]]</f>
        <v>0</v>
      </c>
      <c r="N142">
        <f>Table1[[#This Row],[Date Signed]]-Table1[[#This Row],[Tech Approval]]</f>
        <v>0</v>
      </c>
      <c r="O142" s="4"/>
      <c r="P142" s="1"/>
      <c r="Q142" s="1"/>
    </row>
    <row r="143" spans="2:17" hidden="1" x14ac:dyDescent="0.3">
      <c r="B143" s="5"/>
      <c r="C143" s="1"/>
      <c r="D143" s="2"/>
      <c r="E143" s="1">
        <f>Table1[[#This Row],[Rev]]*Table1[[#This Row],[GP %]]</f>
        <v>0</v>
      </c>
      <c r="N143">
        <f>Table1[[#This Row],[Date Signed]]-Table1[[#This Row],[Tech Approval]]</f>
        <v>0</v>
      </c>
      <c r="O143" s="4"/>
      <c r="P143" s="1"/>
      <c r="Q143" s="1"/>
    </row>
    <row r="144" spans="2:17" hidden="1" x14ac:dyDescent="0.3">
      <c r="B144" s="5"/>
      <c r="C144" s="1"/>
      <c r="D144" s="2"/>
      <c r="E144" s="1">
        <f>Table1[[#This Row],[Rev]]*Table1[[#This Row],[GP %]]</f>
        <v>0</v>
      </c>
      <c r="N144">
        <f>Table1[[#This Row],[Date Signed]]-Table1[[#This Row],[Tech Approval]]</f>
        <v>0</v>
      </c>
      <c r="O144" s="4"/>
      <c r="P144" s="1"/>
      <c r="Q144" s="1"/>
    </row>
    <row r="145" spans="2:17" hidden="1" x14ac:dyDescent="0.3">
      <c r="B145" s="5"/>
      <c r="C145" s="1"/>
      <c r="D145" s="2"/>
      <c r="E145" s="1">
        <f>Table1[[#This Row],[Rev]]*Table1[[#This Row],[GP %]]</f>
        <v>0</v>
      </c>
      <c r="N145">
        <f>Table1[[#This Row],[Date Signed]]-Table1[[#This Row],[Tech Approval]]</f>
        <v>0</v>
      </c>
      <c r="O145" s="4"/>
      <c r="P145" s="1"/>
      <c r="Q145" s="1"/>
    </row>
    <row r="146" spans="2:17" hidden="1" x14ac:dyDescent="0.3">
      <c r="B146" s="5"/>
      <c r="C146" s="1"/>
      <c r="D146" s="2"/>
      <c r="E146" s="1">
        <f>Table1[[#This Row],[Rev]]*Table1[[#This Row],[GP %]]</f>
        <v>0</v>
      </c>
      <c r="N146">
        <f>Table1[[#This Row],[Date Signed]]-Table1[[#This Row],[Tech Approval]]</f>
        <v>0</v>
      </c>
      <c r="O146" s="4"/>
      <c r="P146" s="1"/>
      <c r="Q146" s="1"/>
    </row>
    <row r="147" spans="2:17" hidden="1" x14ac:dyDescent="0.3">
      <c r="B147" s="5"/>
      <c r="C147" s="1"/>
      <c r="D147" s="2"/>
      <c r="E147" s="1">
        <f>Table1[[#This Row],[Rev]]*Table1[[#This Row],[GP %]]</f>
        <v>0</v>
      </c>
      <c r="N147">
        <f>Table1[[#This Row],[Date Signed]]-Table1[[#This Row],[Tech Approval]]</f>
        <v>0</v>
      </c>
      <c r="O147" s="4"/>
      <c r="P147" s="1"/>
      <c r="Q147" s="1"/>
    </row>
    <row r="148" spans="2:17" hidden="1" x14ac:dyDescent="0.3">
      <c r="B148" s="5"/>
      <c r="C148" s="1"/>
      <c r="D148" s="2"/>
      <c r="E148" s="1">
        <f>Table1[[#This Row],[Rev]]*Table1[[#This Row],[GP %]]</f>
        <v>0</v>
      </c>
      <c r="N148">
        <f>Table1[[#This Row],[Date Signed]]-Table1[[#This Row],[Tech Approval]]</f>
        <v>0</v>
      </c>
      <c r="O148" s="4"/>
      <c r="P148" s="1"/>
      <c r="Q148" s="1"/>
    </row>
    <row r="149" spans="2:17" hidden="1" x14ac:dyDescent="0.3">
      <c r="B149" s="5"/>
      <c r="C149" s="1"/>
      <c r="D149" s="2"/>
      <c r="E149" s="1">
        <f>Table1[[#This Row],[Rev]]*Table1[[#This Row],[GP %]]</f>
        <v>0</v>
      </c>
      <c r="N149">
        <f>Table1[[#This Row],[Date Signed]]-Table1[[#This Row],[Tech Approval]]</f>
        <v>0</v>
      </c>
      <c r="O149" s="4"/>
      <c r="P149" s="1"/>
      <c r="Q149" s="1"/>
    </row>
    <row r="150" spans="2:17" hidden="1" x14ac:dyDescent="0.3">
      <c r="B150" s="5"/>
      <c r="C150" s="1"/>
      <c r="D150" s="2"/>
      <c r="E150" s="1">
        <f>Table1[[#This Row],[Rev]]*Table1[[#This Row],[GP %]]</f>
        <v>0</v>
      </c>
      <c r="N150">
        <f>Table1[[#This Row],[Date Signed]]-Table1[[#This Row],[Tech Approval]]</f>
        <v>0</v>
      </c>
      <c r="O150" s="4"/>
      <c r="P150" s="1"/>
      <c r="Q150" s="1"/>
    </row>
    <row r="151" spans="2:17" hidden="1" x14ac:dyDescent="0.3">
      <c r="B151" s="5"/>
      <c r="C151" s="1"/>
      <c r="D151" s="2"/>
      <c r="E151" s="1">
        <f>Table1[[#This Row],[Rev]]*Table1[[#This Row],[GP %]]</f>
        <v>0</v>
      </c>
      <c r="N151">
        <f>Table1[[#This Row],[Date Signed]]-Table1[[#This Row],[Tech Approval]]</f>
        <v>0</v>
      </c>
      <c r="O151" s="4"/>
      <c r="P151" s="1"/>
      <c r="Q151" s="1"/>
    </row>
    <row r="152" spans="2:17" hidden="1" x14ac:dyDescent="0.3">
      <c r="B152" s="5"/>
      <c r="C152" s="1"/>
      <c r="D152" s="2"/>
      <c r="E152" s="1">
        <f>Table1[[#This Row],[Rev]]*Table1[[#This Row],[GP %]]</f>
        <v>0</v>
      </c>
      <c r="N152">
        <f>Table1[[#This Row],[Date Signed]]-Table1[[#This Row],[Tech Approval]]</f>
        <v>0</v>
      </c>
      <c r="O152" s="4"/>
      <c r="P152" s="1"/>
      <c r="Q152" s="1"/>
    </row>
    <row r="153" spans="2:17" hidden="1" x14ac:dyDescent="0.3">
      <c r="B153" s="5"/>
      <c r="C153" s="1"/>
      <c r="D153" s="2"/>
      <c r="E153" s="1">
        <f>Table1[[#This Row],[Rev]]*Table1[[#This Row],[GP %]]</f>
        <v>0</v>
      </c>
      <c r="N153">
        <f>Table1[[#This Row],[Date Signed]]-Table1[[#This Row],[Tech Approval]]</f>
        <v>0</v>
      </c>
      <c r="O153" s="4"/>
      <c r="P153" s="1"/>
      <c r="Q153" s="1"/>
    </row>
    <row r="154" spans="2:17" hidden="1" x14ac:dyDescent="0.3">
      <c r="B154" s="5"/>
      <c r="C154" s="1"/>
      <c r="D154" s="2"/>
      <c r="E154" s="1">
        <f>Table1[[#This Row],[Rev]]*Table1[[#This Row],[GP %]]</f>
        <v>0</v>
      </c>
      <c r="N154">
        <f>Table1[[#This Row],[Date Signed]]-Table1[[#This Row],[Tech Approval]]</f>
        <v>0</v>
      </c>
      <c r="O154" s="4"/>
      <c r="P154" s="1"/>
      <c r="Q154" s="1"/>
    </row>
    <row r="155" spans="2:17" hidden="1" x14ac:dyDescent="0.3">
      <c r="B155" s="5"/>
      <c r="C155" s="1"/>
      <c r="D155" s="2"/>
      <c r="E155" s="1">
        <f>Table1[[#This Row],[Rev]]*Table1[[#This Row],[GP %]]</f>
        <v>0</v>
      </c>
      <c r="N155">
        <f>Table1[[#This Row],[Date Signed]]-Table1[[#This Row],[Tech Approval]]</f>
        <v>0</v>
      </c>
      <c r="O155" s="4"/>
      <c r="P155" s="1"/>
      <c r="Q155" s="1"/>
    </row>
    <row r="156" spans="2:17" hidden="1" x14ac:dyDescent="0.3">
      <c r="B156" s="5"/>
      <c r="C156" s="1"/>
      <c r="D156" s="2"/>
      <c r="E156" s="1">
        <f>Table1[[#This Row],[Rev]]*Table1[[#This Row],[GP %]]</f>
        <v>0</v>
      </c>
      <c r="N156">
        <f>Table1[[#This Row],[Date Signed]]-Table1[[#This Row],[Tech Approval]]</f>
        <v>0</v>
      </c>
      <c r="O156" s="4"/>
      <c r="P156" s="1"/>
      <c r="Q156" s="1"/>
    </row>
    <row r="157" spans="2:17" hidden="1" x14ac:dyDescent="0.3">
      <c r="B157" s="5"/>
      <c r="C157" s="1"/>
      <c r="D157" s="2"/>
      <c r="E157" s="1">
        <f>Table1[[#This Row],[Rev]]*Table1[[#This Row],[GP %]]</f>
        <v>0</v>
      </c>
      <c r="N157">
        <f>Table1[[#This Row],[Date Signed]]-Table1[[#This Row],[Tech Approval]]</f>
        <v>0</v>
      </c>
      <c r="O157" s="4"/>
      <c r="P157" s="1"/>
      <c r="Q157" s="1"/>
    </row>
    <row r="158" spans="2:17" hidden="1" x14ac:dyDescent="0.3">
      <c r="B158" s="5"/>
      <c r="C158" s="1"/>
      <c r="D158" s="2"/>
      <c r="E158" s="1">
        <f>Table1[[#This Row],[Rev]]*Table1[[#This Row],[GP %]]</f>
        <v>0</v>
      </c>
      <c r="N158">
        <f>Table1[[#This Row],[Date Signed]]-Table1[[#This Row],[Tech Approval]]</f>
        <v>0</v>
      </c>
      <c r="O158" s="4"/>
      <c r="P158" s="1"/>
      <c r="Q158" s="1"/>
    </row>
    <row r="159" spans="2:17" hidden="1" x14ac:dyDescent="0.3">
      <c r="B159" s="5"/>
      <c r="C159" s="1"/>
      <c r="D159" s="2"/>
      <c r="E159" s="1">
        <f>Table1[[#This Row],[Rev]]*Table1[[#This Row],[GP %]]</f>
        <v>0</v>
      </c>
      <c r="N159">
        <f>Table1[[#This Row],[Date Signed]]-Table1[[#This Row],[Tech Approval]]</f>
        <v>0</v>
      </c>
      <c r="O159" s="4"/>
      <c r="P159" s="1"/>
      <c r="Q159" s="1"/>
    </row>
    <row r="160" spans="2:17" hidden="1" x14ac:dyDescent="0.3">
      <c r="B160" s="5"/>
      <c r="C160" s="1"/>
      <c r="D160" s="2"/>
      <c r="E160" s="1">
        <f>Table1[[#This Row],[Rev]]*Table1[[#This Row],[GP %]]</f>
        <v>0</v>
      </c>
      <c r="N160">
        <f>Table1[[#This Row],[Date Signed]]-Table1[[#This Row],[Tech Approval]]</f>
        <v>0</v>
      </c>
      <c r="O160" s="4"/>
      <c r="P160" s="1"/>
      <c r="Q160" s="1"/>
    </row>
    <row r="161" spans="2:17" hidden="1" x14ac:dyDescent="0.3">
      <c r="B161" s="5"/>
      <c r="C161" s="1"/>
      <c r="D161" s="2"/>
      <c r="E161" s="1">
        <f>Table1[[#This Row],[Rev]]*Table1[[#This Row],[GP %]]</f>
        <v>0</v>
      </c>
      <c r="N161">
        <f>Table1[[#This Row],[Date Signed]]-Table1[[#This Row],[Tech Approval]]</f>
        <v>0</v>
      </c>
      <c r="O161" s="4"/>
      <c r="P161" s="1"/>
      <c r="Q161" s="1"/>
    </row>
    <row r="162" spans="2:17" hidden="1" x14ac:dyDescent="0.3">
      <c r="B162" s="5"/>
      <c r="C162" s="1"/>
      <c r="D162" s="2"/>
      <c r="E162" s="1">
        <f>Table1[[#This Row],[Rev]]*Table1[[#This Row],[GP %]]</f>
        <v>0</v>
      </c>
      <c r="N162">
        <f>Table1[[#This Row],[Date Signed]]-Table1[[#This Row],[Tech Approval]]</f>
        <v>0</v>
      </c>
      <c r="O162" s="4"/>
      <c r="P162" s="1"/>
      <c r="Q162" s="1"/>
    </row>
    <row r="163" spans="2:17" hidden="1" x14ac:dyDescent="0.3">
      <c r="B163" s="5"/>
      <c r="C163" s="1"/>
      <c r="D163" s="2"/>
      <c r="E163" s="1">
        <f>Table1[[#This Row],[Rev]]*Table1[[#This Row],[GP %]]</f>
        <v>0</v>
      </c>
      <c r="N163">
        <f>Table1[[#This Row],[Date Signed]]-Table1[[#This Row],[Tech Approval]]</f>
        <v>0</v>
      </c>
      <c r="O163" s="4"/>
      <c r="P163" s="1"/>
      <c r="Q163" s="1"/>
    </row>
    <row r="164" spans="2:17" hidden="1" x14ac:dyDescent="0.3">
      <c r="B164" s="5"/>
      <c r="C164" s="1"/>
      <c r="D164" s="2"/>
      <c r="E164" s="1">
        <f>Table1[[#This Row],[Rev]]*Table1[[#This Row],[GP %]]</f>
        <v>0</v>
      </c>
      <c r="N164">
        <f>Table1[[#This Row],[Date Signed]]-Table1[[#This Row],[Tech Approval]]</f>
        <v>0</v>
      </c>
      <c r="O164" s="4"/>
      <c r="P164" s="1"/>
      <c r="Q164" s="1"/>
    </row>
    <row r="165" spans="2:17" hidden="1" x14ac:dyDescent="0.3">
      <c r="B165" s="5"/>
      <c r="C165" s="1"/>
      <c r="D165" s="2"/>
      <c r="E165" s="1">
        <f>Table1[[#This Row],[Rev]]*Table1[[#This Row],[GP %]]</f>
        <v>0</v>
      </c>
      <c r="N165">
        <f>Table1[[#This Row],[Date Signed]]-Table1[[#This Row],[Tech Approval]]</f>
        <v>0</v>
      </c>
      <c r="O165" s="4"/>
      <c r="P165" s="1"/>
      <c r="Q165" s="1"/>
    </row>
    <row r="166" spans="2:17" hidden="1" x14ac:dyDescent="0.3">
      <c r="B166" s="5"/>
      <c r="C166" s="1"/>
      <c r="D166" s="2"/>
      <c r="E166" s="1">
        <f>Table1[[#This Row],[Rev]]*Table1[[#This Row],[GP %]]</f>
        <v>0</v>
      </c>
      <c r="N166">
        <f>Table1[[#This Row],[Date Signed]]-Table1[[#This Row],[Tech Approval]]</f>
        <v>0</v>
      </c>
      <c r="O166" s="4"/>
      <c r="P166" s="1"/>
      <c r="Q166" s="1"/>
    </row>
    <row r="167" spans="2:17" hidden="1" x14ac:dyDescent="0.3">
      <c r="B167" s="5"/>
      <c r="C167" s="1"/>
      <c r="D167" s="2"/>
      <c r="E167" s="1">
        <f>Table1[[#This Row],[Rev]]*Table1[[#This Row],[GP %]]</f>
        <v>0</v>
      </c>
      <c r="N167">
        <f>Table1[[#This Row],[Date Signed]]-Table1[[#This Row],[Tech Approval]]</f>
        <v>0</v>
      </c>
      <c r="O167" s="4"/>
      <c r="P167" s="1"/>
      <c r="Q167" s="1"/>
    </row>
    <row r="168" spans="2:17" hidden="1" x14ac:dyDescent="0.3">
      <c r="B168" s="5"/>
      <c r="C168" s="1"/>
      <c r="D168" s="2"/>
      <c r="E168" s="1">
        <f>Table1[[#This Row],[Rev]]*Table1[[#This Row],[GP %]]</f>
        <v>0</v>
      </c>
      <c r="N168">
        <f>Table1[[#This Row],[Date Signed]]-Table1[[#This Row],[Tech Approval]]</f>
        <v>0</v>
      </c>
      <c r="O168" s="4"/>
      <c r="P168" s="1"/>
      <c r="Q168" s="1"/>
    </row>
    <row r="169" spans="2:17" hidden="1" x14ac:dyDescent="0.3">
      <c r="B169" s="5"/>
      <c r="C169" s="1"/>
      <c r="D169" s="2"/>
      <c r="E169" s="1">
        <f>Table1[[#This Row],[Rev]]*Table1[[#This Row],[GP %]]</f>
        <v>0</v>
      </c>
      <c r="N169">
        <f>Table1[[#This Row],[Date Signed]]-Table1[[#This Row],[Tech Approval]]</f>
        <v>0</v>
      </c>
      <c r="O169" s="4"/>
      <c r="P169" s="1"/>
      <c r="Q169" s="1"/>
    </row>
    <row r="170" spans="2:17" hidden="1" x14ac:dyDescent="0.3">
      <c r="B170" s="5"/>
      <c r="C170" s="1"/>
      <c r="D170" s="2"/>
      <c r="E170" s="1">
        <f>Table1[[#This Row],[Rev]]*Table1[[#This Row],[GP %]]</f>
        <v>0</v>
      </c>
      <c r="N170">
        <f>Table1[[#This Row],[Date Signed]]-Table1[[#This Row],[Tech Approval]]</f>
        <v>0</v>
      </c>
      <c r="O170" s="4"/>
      <c r="P170" s="1"/>
      <c r="Q170" s="1"/>
    </row>
    <row r="171" spans="2:17" hidden="1" x14ac:dyDescent="0.3">
      <c r="B171" s="5"/>
      <c r="C171" s="1"/>
      <c r="D171" s="2"/>
      <c r="E171" s="1">
        <f>Table1[[#This Row],[Rev]]*Table1[[#This Row],[GP %]]</f>
        <v>0</v>
      </c>
      <c r="N171">
        <f>Table1[[#This Row],[Date Signed]]-Table1[[#This Row],[Tech Approval]]</f>
        <v>0</v>
      </c>
      <c r="O171" s="4"/>
      <c r="P171" s="1"/>
      <c r="Q171" s="1"/>
    </row>
    <row r="172" spans="2:17" hidden="1" x14ac:dyDescent="0.3">
      <c r="B172" s="5"/>
      <c r="C172" s="1"/>
      <c r="D172" s="2"/>
      <c r="E172" s="1">
        <f>Table1[[#This Row],[Rev]]*Table1[[#This Row],[GP %]]</f>
        <v>0</v>
      </c>
      <c r="N172">
        <f>Table1[[#This Row],[Date Signed]]-Table1[[#This Row],[Tech Approval]]</f>
        <v>0</v>
      </c>
      <c r="O172" s="4"/>
      <c r="P172" s="1"/>
      <c r="Q172" s="1"/>
    </row>
    <row r="173" spans="2:17" hidden="1" x14ac:dyDescent="0.3">
      <c r="B173" s="5"/>
      <c r="C173" s="1"/>
      <c r="D173" s="2"/>
      <c r="E173" s="1">
        <f>Table1[[#This Row],[Rev]]*Table1[[#This Row],[GP %]]</f>
        <v>0</v>
      </c>
      <c r="N173">
        <f>Table1[[#This Row],[Date Signed]]-Table1[[#This Row],[Tech Approval]]</f>
        <v>0</v>
      </c>
      <c r="O173" s="4"/>
      <c r="P173" s="1"/>
      <c r="Q173" s="1"/>
    </row>
    <row r="174" spans="2:17" hidden="1" x14ac:dyDescent="0.3">
      <c r="B174" s="5"/>
      <c r="C174" s="1"/>
      <c r="D174" s="2"/>
      <c r="E174" s="1"/>
      <c r="N174">
        <f>Table1[[#This Row],[Date Signed]]-Table1[[#This Row],[Tech Approval]]</f>
        <v>0</v>
      </c>
      <c r="O174" s="4"/>
      <c r="P174" s="1"/>
      <c r="Q174" s="1"/>
    </row>
    <row r="175" spans="2:17" hidden="1" x14ac:dyDescent="0.3">
      <c r="B175" s="5"/>
      <c r="C175" s="1"/>
      <c r="D175" s="2"/>
      <c r="E175" s="1"/>
      <c r="O175" s="4"/>
      <c r="P175" s="1"/>
      <c r="Q175" s="1"/>
    </row>
    <row r="176" spans="2:17" hidden="1" x14ac:dyDescent="0.3">
      <c r="B176" s="5"/>
      <c r="C176" s="1"/>
      <c r="D176" s="2"/>
      <c r="E176" s="1"/>
      <c r="O176" s="4"/>
      <c r="P176" s="1"/>
      <c r="Q176" s="1"/>
    </row>
    <row r="177" spans="2:17" hidden="1" x14ac:dyDescent="0.3">
      <c r="B177" s="5"/>
      <c r="C177" s="1"/>
      <c r="D177" s="2"/>
      <c r="E177" s="1"/>
      <c r="O177" s="4"/>
      <c r="P177" s="1"/>
      <c r="Q177" s="1"/>
    </row>
    <row r="178" spans="2:17" hidden="1" x14ac:dyDescent="0.3">
      <c r="B178" s="5"/>
      <c r="C178" s="1"/>
      <c r="D178" s="2"/>
      <c r="E178" s="1"/>
      <c r="O178" s="4"/>
      <c r="P178" s="1"/>
      <c r="Q178" s="1"/>
    </row>
    <row r="179" spans="2:17" hidden="1" x14ac:dyDescent="0.3">
      <c r="B179" s="5"/>
      <c r="C179" s="1"/>
      <c r="D179" s="2"/>
      <c r="E179" s="1"/>
      <c r="N179">
        <f>Table1[[#This Row],[Date Signed]]-Table1[[#This Row],[Tech Approval]]</f>
        <v>0</v>
      </c>
      <c r="O179" s="4"/>
      <c r="P179" s="1"/>
      <c r="Q179" s="1"/>
    </row>
    <row r="180" spans="2:17" x14ac:dyDescent="0.3">
      <c r="B180" s="5"/>
      <c r="C180" s="1">
        <f>SUBTOTAL(109,Table1[Rev])</f>
        <v>410843.8</v>
      </c>
      <c r="D180" s="2"/>
      <c r="E180" s="1"/>
    </row>
    <row r="186" spans="2:17" x14ac:dyDescent="0.3">
      <c r="D186" t="s">
        <v>73</v>
      </c>
    </row>
    <row r="187" spans="2:17" x14ac:dyDescent="0.3">
      <c r="D187" t="s">
        <v>76</v>
      </c>
    </row>
  </sheetData>
  <phoneticPr fontId="1" type="noConversion"/>
  <conditionalFormatting sqref="C16">
    <cfRule type="containsText" dxfId="5" priority="2" operator="containsText" text="Ignore">
      <formula>NOT(ISERROR(SEARCH("Ignore",C16)))</formula>
    </cfRule>
  </conditionalFormatting>
  <conditionalFormatting sqref="F5">
    <cfRule type="duplicateValues" dxfId="4" priority="6"/>
  </conditionalFormatting>
  <conditionalFormatting sqref="F7">
    <cfRule type="duplicateValues" dxfId="3" priority="1"/>
  </conditionalFormatting>
  <conditionalFormatting sqref="F8">
    <cfRule type="duplicateValues" dxfId="2" priority="4"/>
  </conditionalFormatting>
  <conditionalFormatting sqref="F19">
    <cfRule type="duplicateValues" dxfId="1" priority="3"/>
  </conditionalFormatting>
  <conditionalFormatting sqref="G6">
    <cfRule type="duplicateValues" dxfId="0" priority="5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6a2d5a-08e2-46ad-8a03-afd3b3089f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BB6EAA750C4A4BAB17BBB9AA8A77C9" ma:contentTypeVersion="18" ma:contentTypeDescription="Create a new document." ma:contentTypeScope="" ma:versionID="942d0dd6ca7dae75e544d242f9e7252c">
  <xsd:schema xmlns:xsd="http://www.w3.org/2001/XMLSchema" xmlns:xs="http://www.w3.org/2001/XMLSchema" xmlns:p="http://schemas.microsoft.com/office/2006/metadata/properties" xmlns:ns3="a70aa093-1797-4063-81b0-3be3ccd5cdda" xmlns:ns4="aa6a2d5a-08e2-46ad-8a03-afd3b3089f2a" targetNamespace="http://schemas.microsoft.com/office/2006/metadata/properties" ma:root="true" ma:fieldsID="ebe013796f55d9e966c95aae7fdbdbc9" ns3:_="" ns4:_="">
    <xsd:import namespace="a70aa093-1797-4063-81b0-3be3ccd5cdda"/>
    <xsd:import namespace="aa6a2d5a-08e2-46ad-8a03-afd3b3089f2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Locatio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0aa093-1797-4063-81b0-3be3ccd5cd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a2d5a-08e2-46ad-8a03-afd3b3089f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6630E0-1C19-4D4B-B9EC-E883547D65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80FB94-B852-491C-A121-D7A7B409B905}">
  <ds:schemaRefs>
    <ds:schemaRef ds:uri="http://purl.org/dc/dcmitype/"/>
    <ds:schemaRef ds:uri="http://schemas.microsoft.com/office/2006/documentManagement/types"/>
    <ds:schemaRef ds:uri="aa6a2d5a-08e2-46ad-8a03-afd3b3089f2a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70aa093-1797-4063-81b0-3be3ccd5cdd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191DBAE-52D0-4772-B5BC-F769D7F27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0aa093-1797-4063-81b0-3be3ccd5cdda"/>
    <ds:schemaRef ds:uri="aa6a2d5a-08e2-46ad-8a03-afd3b3089f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956267e-7d50-46d0-9b27-8f911a5b38ff}" enabled="1" method="Standard" siteId="{6c637512-c417-4e78-9d62-b61258e4b61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Crampton, Mike</dc:creator>
  <cp:keywords/>
  <dc:description/>
  <cp:lastModifiedBy>Devan Schellenberg</cp:lastModifiedBy>
  <cp:revision/>
  <dcterms:created xsi:type="dcterms:W3CDTF">2023-10-31T15:48:46Z</dcterms:created>
  <dcterms:modified xsi:type="dcterms:W3CDTF">2026-01-23T16:10:53Z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0x010100DCBB6EAA750C4A4BAB17BBB9AA8A77C9</vt:lpwstr>
  </property>
</Properties>
</file>